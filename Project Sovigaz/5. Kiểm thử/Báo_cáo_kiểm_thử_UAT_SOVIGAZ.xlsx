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-587K9L3\Documents\Môn học kì này\INDA\Project Sovigaz\5. Kiểm thử\"/>
    </mc:Choice>
  </mc:AlternateContent>
  <xr:revisionPtr revIDLastSave="0" documentId="13_ncr:1_{8CED3ED1-857A-4708-B976-FE1F1CBAF752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Guide" sheetId="1" r:id="rId1"/>
    <sheet name="CoverPage" sheetId="2" r:id="rId2"/>
    <sheet name="MainList" sheetId="3" r:id="rId3"/>
    <sheet name="UAT_DT_01" sheetId="4" r:id="rId4"/>
    <sheet name="UAT_DTCT_02" sheetId="5" r:id="rId5"/>
    <sheet name="UAT_CN_03" sheetId="6" r:id="rId6"/>
    <sheet name="UAT_KPI_04" sheetId="7" r:id="rId7"/>
    <sheet name="UAT_KPICT_05" sheetId="8" r:id="rId8"/>
    <sheet name="Evidence" sheetId="9" r:id="rId9"/>
    <sheet name="Scenario" sheetId="10" state="hidden" r:id="rId10"/>
  </sheets>
  <calcPr calcId="191029" iterateDelta="1E-4"/>
</workbook>
</file>

<file path=xl/calcChain.xml><?xml version="1.0" encoding="utf-8"?>
<calcChain xmlns="http://schemas.openxmlformats.org/spreadsheetml/2006/main">
  <c r="G5" i="10" l="1"/>
  <c r="G4" i="10"/>
  <c r="G3" i="10"/>
  <c r="G2" i="10" s="1"/>
  <c r="G1" i="10"/>
  <c r="G5" i="8"/>
  <c r="G4" i="8"/>
  <c r="G3" i="8"/>
  <c r="G2" i="8" s="1"/>
  <c r="G1" i="8"/>
  <c r="G5" i="7"/>
  <c r="G4" i="7"/>
  <c r="G3" i="7"/>
  <c r="G2" i="7"/>
  <c r="G1" i="7"/>
  <c r="G5" i="6"/>
  <c r="G4" i="6"/>
  <c r="G3" i="6"/>
  <c r="G2" i="6"/>
  <c r="G1" i="6"/>
  <c r="G5" i="5"/>
  <c r="G4" i="5"/>
  <c r="G3" i="5"/>
  <c r="G2" i="5" s="1"/>
  <c r="G1" i="5"/>
  <c r="G5" i="4"/>
  <c r="G4" i="4"/>
  <c r="G3" i="4"/>
  <c r="G2" i="4" s="1"/>
  <c r="G1" i="4"/>
  <c r="G7" i="3"/>
  <c r="H8" i="3"/>
  <c r="H10" i="3"/>
  <c r="H9" i="3"/>
  <c r="H7" i="3"/>
  <c r="J10" i="3"/>
  <c r="I7" i="3"/>
  <c r="J9" i="3"/>
  <c r="I6" i="3"/>
  <c r="J8" i="3"/>
  <c r="G6" i="3"/>
  <c r="H6" i="3"/>
  <c r="G10" i="3"/>
  <c r="G9" i="3"/>
  <c r="J7" i="3"/>
  <c r="J6" i="3"/>
  <c r="I10" i="3"/>
  <c r="G8" i="3"/>
  <c r="I9" i="3"/>
  <c r="I8" i="3"/>
  <c r="I5" i="3" l="1"/>
  <c r="J5" i="3"/>
  <c r="G5" i="3"/>
  <c r="E6" i="3"/>
  <c r="E8" i="3"/>
  <c r="F8" i="3" s="1"/>
  <c r="E7" i="3"/>
  <c r="F7" i="3" s="1"/>
  <c r="E9" i="3"/>
  <c r="F9" i="3" s="1"/>
  <c r="E10" i="3"/>
  <c r="F10" i="3" s="1"/>
  <c r="H5" i="3"/>
  <c r="L10" i="3" l="1"/>
  <c r="K10" i="3"/>
  <c r="L9" i="3"/>
  <c r="K9" i="3"/>
  <c r="L7" i="3"/>
  <c r="K7" i="3"/>
  <c r="L8" i="3"/>
  <c r="K8" i="3"/>
  <c r="E5" i="3"/>
  <c r="F6" i="3"/>
  <c r="F5" i="3" l="1"/>
  <c r="L6" i="3"/>
  <c r="K6" i="3"/>
  <c r="L5" i="3" l="1"/>
  <c r="K5" i="3"/>
</calcChain>
</file>

<file path=xl/sharedStrings.xml><?xml version="1.0" encoding="utf-8"?>
<sst xmlns="http://schemas.openxmlformats.org/spreadsheetml/2006/main" count="1007" uniqueCount="531">
  <si>
    <t>HƯỚNG DẪN CHUNG</t>
  </si>
  <si>
    <t>Sheet Report</t>
  </si>
  <si>
    <t>- Tổng hợp toàn bộ kết quả kiểm tra theo từng tình huống, mỗi tình huống tương ứng với 1 Sheet Scenario-1</t>
  </si>
  <si>
    <t>- Mỗi tình huống kiểm tra là 1 luồng xử lý từ khi bắt đầu cho đến khi kết thúc một tình huống nghiệp vụ cụ thể</t>
  </si>
  <si>
    <t>Tiền điều kiện: Điều kiện cần phải có trước khi thực hiện Tình huống</t>
  </si>
  <si>
    <t>Mã tình huống (Scenario ID): Mã tình huống kiểm tra</t>
  </si>
  <si>
    <t>Tên tình huống  (Test Scenario) : Mô tả tên tình huống kiểm tra</t>
  </si>
  <si>
    <t>Sheet Evidence</t>
  </si>
  <si>
    <t>Liệt kê các bằng chứng để chứng minh kết quả kiểm tra (Nếu cần)</t>
  </si>
  <si>
    <t>Sheet Scenario-1 (Tình huống kiểm tra)</t>
  </si>
  <si>
    <t>Mô tả chi tiết kịch bản kiểm tra cho từng tình huống (Cần kiểm tra như thế nào) .</t>
  </si>
  <si>
    <t>Tên Sheet</t>
  </si>
  <si>
    <t>- Tên của Sheet tương ứng với cột Mã tình huống (Scenario ID ) trong Sheet MainList, đặt theo Quy tắc: &lt;Mã của Quy trình nghiệp vụ/ hoặc Chức năng cần kiểm tra&gt;_&lt;Số thứ tự tăng dần từ 01&gt;</t>
  </si>
  <si>
    <t>Thông tin chung</t>
  </si>
  <si>
    <t>Tiền điều kiện</t>
  </si>
  <si>
    <t>- Mô tả điều kiện cần phải có trước khi thực hiện tình huống này</t>
  </si>
  <si>
    <t>- Trường hợp cần phải thực hiện một tình huống nào đó trước khi thực hiện tình huống này thì để mã của tình huống trước vào đây</t>
  </si>
  <si>
    <t>- Nếu không có điều kiện tiên quyết thì để là 'Không có'</t>
  </si>
  <si>
    <t>Tình huống</t>
  </si>
  <si>
    <t>Điền theo Quy tắc: &lt;Mã tình huống&gt;.&lt;Tên tình huống&gt;.</t>
  </si>
  <si>
    <t>- Mã tình huống: Lấy theo tên Sheet Tình huống</t>
  </si>
  <si>
    <t>- Tên Tình huống: Mô tả tên tình huống kiểm tra. Mỗi tình huống là 1 luồng xử lý từ khi bắt đầu cho đến khi kết thúc một tình huống nghiệp vụ cụ thể</t>
  </si>
  <si>
    <t>Kịch bản kiểm thử</t>
  </si>
  <si>
    <t>Mã trường hợp (Case ID)</t>
  </si>
  <si>
    <t>Mã số các trường hợp kiểm tra đánh theo Quy tắc: &lt;Mã tình huống&gt;.&lt;Số thứ tự tăng dần từ 1&gt;</t>
  </si>
  <si>
    <t>Mục đích kiểm tra</t>
  </si>
  <si>
    <t>Mục đích tương ứng với từng trường hợp cần kiểm tra</t>
  </si>
  <si>
    <t>Vai trò (Role)</t>
  </si>
  <si>
    <t>Nhập tên vai trò (Role) thực hiện kiểm tra</t>
  </si>
  <si>
    <t>Chức năng/Bảng</t>
  </si>
  <si>
    <t>Điền Mã hoặc Tên của chức năng/ Màn hình/ Bảng dữ liệu được kiểm tra</t>
  </si>
  <si>
    <t>Các bước thực hiện</t>
  </si>
  <si>
    <t>Mô tả các bước cần thực hiện và dữ liệu nhập vào để kiểm tra</t>
  </si>
  <si>
    <t>Kết quả mong muốn</t>
  </si>
  <si>
    <t>Kết quả mong muốn có được ứng với điều kiện đầu vào đã nhập</t>
  </si>
  <si>
    <t>Kết quả kiểm tra thực tế</t>
  </si>
  <si>
    <t>Dữ liệu kiểm tra thực tế</t>
  </si>
  <si>
    <t>Mô tả dữ liệu nhập thực tế nhập khi kiểm tra</t>
  </si>
  <si>
    <t>Mô tả lỗi/ Mã lỗi Jira</t>
  </si>
  <si>
    <t>- Điền mã lỗi trên Jira. Hoặc tóm tắt lỗi phát hiện</t>
  </si>
  <si>
    <t>- Vẫn để nguyên thông tin lỗi sau khi đã được sửa để theo dõi</t>
  </si>
  <si>
    <t>Kết quả</t>
  </si>
  <si>
    <t>Kết quả kiểm tra:</t>
  </si>
  <si>
    <t>- Thành công: Nếu kết quả thực tế đúng như Kết quả mong muốn</t>
  </si>
  <si>
    <t>- Lỗi: Nếu kết quả thực tế không đúng như Kết quả mong muốn</t>
  </si>
  <si>
    <t>- Hủy bỏ: Nếu không thực hiện được vì lý do nào đó và được Trưởng nhóm chấp nhận bỏ qua</t>
  </si>
  <si>
    <t>Ngày hoàn thành</t>
  </si>
  <si>
    <t>Điền ngày hoàn thành ứng với Kết quả = 'Thành công'</t>
  </si>
  <si>
    <t>KỊCH BẢN &amp; BÁO CÁO KIỂM THỬ UAT HỆ THỐNG BI SOVIGAZ</t>
  </si>
  <si>
    <t>SVG - HỆ THỐNG BÁO CÁO QUẢN TRỊ DOANH THU, CÔNG NỢ &amp; KPI SOVIGAZ</t>
  </si>
  <si>
    <t>Phiên bản: 2.0 (UAT)</t>
  </si>
  <si>
    <t>Người lập:</t>
  </si>
  <si>
    <t>Nguyễn Duy Mạnh</t>
  </si>
  <si>
    <t>Chuyên viên Phân tích Dữ liệu / BI Developer</t>
  </si>
  <si>
    <t>Người phê duyệt:</t>
  </si>
  <si>
    <t>Hội đồng Đánh giá Dự án / Giảng viên hướng dẫn INDA</t>
  </si>
  <si>
    <t>Project Manager / GVHD</t>
  </si>
  <si>
    <t>LỊCH SỬ THAY ĐỔI</t>
  </si>
  <si>
    <t>Ngày</t>
  </si>
  <si>
    <t>Phiên bản</t>
  </si>
  <si>
    <t>Người thực hiện</t>
  </si>
  <si>
    <t>Mô tả</t>
  </si>
  <si>
    <t>09/10/2026</t>
  </si>
  <si>
    <t>2.0</t>
  </si>
  <si>
    <t>Cập nhật bộ kịch bản kiểm thử UAT: tích hợp câu lệnh SQL đối soát, chuẩn hóa điều kiện tiên quyết và khắc phục công thức đếm ô trống</t>
  </si>
  <si>
    <t>TỔNG HỢP KẾT QUẢ KIỂM TRA</t>
  </si>
  <si>
    <t>Nhấn Ctrl+Alt+F9 để cập nhật lại danh sách. Nhấn chuột vào Tên tình huống trong danh sách để mở Sheet Tình huống tương ứng</t>
  </si>
  <si>
    <t>Thống kê theo Trường hợp kiểm thử (Test Case)</t>
  </si>
  <si>
    <t>Điều kiện tiên quyết</t>
  </si>
  <si>
    <t>Mã tình huống
(Scenario ID)</t>
  </si>
  <si>
    <t>Tên tình huống
 (Test Scenario)</t>
  </si>
  <si>
    <t>Tổng số</t>
  </si>
  <si>
    <t>Cần kiểm tra</t>
  </si>
  <si>
    <t>Chưa kiểm tra</t>
  </si>
  <si>
    <t>Thành công</t>
  </si>
  <si>
    <t>Lỗi</t>
  </si>
  <si>
    <t>Hủy bỏ</t>
  </si>
  <si>
    <t>% Thực hiện</t>
  </si>
  <si>
    <t>% Thành công</t>
  </si>
  <si>
    <t>Không có</t>
  </si>
  <si>
    <t>UAT_DT_01</t>
  </si>
  <si>
    <t>Kiểm thử Báo cáo Tổng quan Doanh thu</t>
  </si>
  <si>
    <t>Hoàn thành UAT_DT_01</t>
  </si>
  <si>
    <t>UAT_DTCT_02</t>
  </si>
  <si>
    <t>Kiểm thử Báo cáo Doanh thu Chi tiết</t>
  </si>
  <si>
    <t>Hoàn thành UAT_DTCT_02</t>
  </si>
  <si>
    <t>UAT_CN_03</t>
  </si>
  <si>
    <t>Kiểm thử Báo cáo Quản lý Công nợ</t>
  </si>
  <si>
    <t>Hoàn thành UAT_CN_03</t>
  </si>
  <si>
    <t>UAT_KPI_04</t>
  </si>
  <si>
    <t>Kiểm thử Báo cáo Tổng quan KPI (A3)</t>
  </si>
  <si>
    <t>Hoàn thành UAT_KPI_04</t>
  </si>
  <si>
    <t>UAT_KPICT_05</t>
  </si>
  <si>
    <t>Kiểm thử Báo cáo KPI Chi tiết &amp; Sức khỏe tài chính</t>
  </si>
  <si>
    <t>TỔNG HỢP DANH SÁCH CÁC LỖI PHÁT SINH</t>
  </si>
  <si>
    <t>STT</t>
  </si>
  <si>
    <t>Trạng thái lỗi</t>
  </si>
  <si>
    <t>Số lượng</t>
  </si>
  <si>
    <t>Ghi chú</t>
  </si>
  <si>
    <t>Open</t>
  </si>
  <si>
    <t>Resolved</t>
  </si>
  <si>
    <t>Reopen</t>
  </si>
  <si>
    <t>Closed</t>
  </si>
  <si>
    <t>Cancel</t>
  </si>
  <si>
    <t xml:space="preserve">  </t>
  </si>
  <si>
    <t>KỊCH BẢN KIỂM TRA</t>
  </si>
  <si>
    <t>Trọng yếu (x)</t>
  </si>
  <si>
    <t>có 1 dữ liệu thôi, dễ tiếp cập.
nó là 1 ms hoặc 1 bảng trong data thôi nên dễ tra cứu.
nó xuyên suốt db.</t>
  </si>
  <si>
    <t>UAT_DT_01.Kiểm thử Báo cáo Tổng quan Doanh thu</t>
  </si>
  <si>
    <t>Cán bộ kiểm tra</t>
  </si>
  <si>
    <t>Đơn vị</t>
  </si>
  <si>
    <t>INDA - Sovigaz Project Team</t>
  </si>
  <si>
    <t>Kết quả kiểm tra</t>
  </si>
  <si>
    <t>Dữ liệu kiểm tra</t>
  </si>
  <si>
    <t>Mỗi tình huống có thể có nhiều trường hợp cần kiểm tra dựa theo các luồng dữ liệu khác nhau</t>
  </si>
  <si>
    <t>Điền theo Quy tắc: &lt;Hệ thống&gt;/ &lt;Chức năng hoặc Bảng dữ liệu&gt; được sử dụng để kiểm tra</t>
  </si>
  <si>
    <t>Mô tả các bước cần thực hiện, danh sách các trường bắt buộc phải nhập và giá trị tương ứng cần nhập của từng trường, . . .</t>
  </si>
  <si>
    <t>Kết quả mong muốn có được ứng với điều kiện đầu vào đã nhập bao gồm: Hệ thống hiển thị thông báo gì, giá trị đầu ra của các trường dữ liệu, . . .</t>
  </si>
  <si>
    <t>Mô tả dữ liệu nhập thực tế khi kiểm tra</t>
  </si>
  <si>
    <t>- Điền Mã lỗi trên Jira. Hoặc tóm tắt lỗi phát hiện
- Vẫn để nguyên thông tin lỗi sau khi đã được sửa để theo dõi</t>
  </si>
  <si>
    <t>Kết quả kiểm tra:
- Thành công 
- Lỗi
- Hủy bỏ</t>
  </si>
  <si>
    <t>Điền ngày hoàn thành ứng với Kết quả = Thành công</t>
  </si>
  <si>
    <t>Đánh dấu 'X' nếu là trường hợp cần phải Thành công mới được Golive</t>
  </si>
  <si>
    <t>[PHẦN 1] Kiểm tra các Thẻ chỉ số KPI Cards (Doanh thu, Thuế, Đơn hàng, AOV)</t>
  </si>
  <si>
    <t>UAT_DT_01.1</t>
  </si>
  <si>
    <t>Kiểm tra Thẻ Doanh thu thực tế (thuần)</t>
  </si>
  <si>
    <t>Tester</t>
  </si>
  <si>
    <t>Báo cáo Doanh thu / Card</t>
  </si>
  <si>
    <t>Chạy truy vấn SQL trên DWH:
SELECT SUM(ReceiptAmount) - SUM(VATAmount) AS DT_ThucTe
FROM Datamart.DM_RevenueBySaleLedger;
Đối chiếu số tiền trả về với Thẻ Card Doanh thu thực tế trên Power BI.</t>
  </si>
  <si>
    <t>Hiển thị đúng 1.111bn (1.110.940.457.265 VND)</t>
  </si>
  <si>
    <t>DM_RevenueBySaleLedger: 1.110.940.457.265 VND</t>
  </si>
  <si>
    <t>x</t>
  </si>
  <si>
    <t>UAT_DT_01.2</t>
  </si>
  <si>
    <t>Kiểm tra Thẻ Thuế VAT đầu ra</t>
  </si>
  <si>
    <t>Chạy truy vấn SQL trên DWH:
SELECT SUM(VATAmount) AS ThueVAT
FROM Datamart.DM_RevenueBySaleLedger;
Đối chiếu số tiền với Thẻ Card Thuế VAT trên Power BI.</t>
  </si>
  <si>
    <t>Hiển thị đúng 102bn (102.260.497.950 VND)</t>
  </si>
  <si>
    <t>DM_RevenueBySaleLedger: 102.260.497.950 VND</t>
  </si>
  <si>
    <t>UAT_DT_01.3</t>
  </si>
  <si>
    <t>Kiểm tra Thẻ Doanh thu trước thuế (gồm thuế)</t>
  </si>
  <si>
    <t>Chạy truy vấn SQL trên DWH:
SELECT SUM(ReceiptAmount) AS DoanhThuGomThue
FROM Datamart.DM_RevenueBySaleLedger;
Đối chiếu với Thẻ Card Doanh thu trước thuế trên Power BI.</t>
  </si>
  <si>
    <t>Hiển thị đúng 1213bn (1.213.200.955.215 VND)</t>
  </si>
  <si>
    <t>DM_RevenueBySaleLedger: 1.213.200.955.215 VND</t>
  </si>
  <si>
    <t>UAT_DT_01.4</t>
  </si>
  <si>
    <t>Kiểm tra Thẻ Tổng đơn hàng</t>
  </si>
  <si>
    <t>Chạy truy vấn SQL trên DWH:
SELECT COUNT(DISTINCT InvNo) AS TongDonHang
FROM Datamart.DM_RevenueBySaleLedger;
Đối chiếu số lượng đơn hàng với Thẻ Card Tổng đơn hàng.</t>
  </si>
  <si>
    <t>Hiển thị đúng 22,90K (22.895 đơn hàng)</t>
  </si>
  <si>
    <t>DM_RevenueBySaleLedger: 22.895 đơn hàng</t>
  </si>
  <si>
    <t>UAT_DT_01.5</t>
  </si>
  <si>
    <t>Kiểm tra Thẻ Giá trị TB đơn hàng (AOV)</t>
  </si>
  <si>
    <t>Chạy truy vấn SQL trên DWH:
SELECT (SUM(ReceiptAmount) - SUM(VATAmount)) / COUNT(DISTINCT InvNo) AS AOV
FROM Datamart.DM_RevenueBySaleLedger;
Đối chiếu với Thẻ Card Giá trị TB đơn hàng.</t>
  </si>
  <si>
    <t>Hiển thị đúng 48,52M (48.523.278 VND/đơn)</t>
  </si>
  <si>
    <t>Doanh thu thuần chia Tổng đơn hàng = 48.523.278 VND</t>
  </si>
  <si>
    <t>[PHẦN 2] Kiểm tra các Biểu đồ phân tích (Xu hướng 12 tháng, Nhóm hàng, Nhóm KH, Xí nghiệp)</t>
  </si>
  <si>
    <t>UAT_DT_01.6</t>
  </si>
  <si>
    <t>Kiểm tra Biểu đồ Doanh thu và số đơn hàng 12 tháng</t>
  </si>
  <si>
    <t>Báo cáo Doanh thu / Line &amp; Column</t>
  </si>
  <si>
    <t>Chạy truy vấn SQL:
SELECT d.Month, SUM(s.ReceiptAmount - s.VATAmount) AS DT, COUNT(DISTINCT s.InvNo) AS DonHang
FROM DM_RevenueBySaleLedger s
JOIN Dim_Date d ON s.PostedDate = d.Date
GROUP BY d.Month ORDER BY d.Month;
Đối chiếu từng tháng trên biểu đồ.</t>
  </si>
  <si>
    <t>Biểu đồ thể hiện đủ 12 tháng, xu hướng khớp SQL, tổng doanh thu 12 tháng đạt 1.110,9 tỷ</t>
  </si>
  <si>
    <t>Group by Dim_Date[Month]: Tháng 1 đến Tháng 12</t>
  </si>
  <si>
    <t>UAT_DT_01.7</t>
  </si>
  <si>
    <t>Kiểm tra Biểu đồ Doanh thu theo nhóm vật tư/hàng hóa</t>
  </si>
  <si>
    <t>Báo cáo Doanh thu / Clustered Column</t>
  </si>
  <si>
    <t>Chạy truy vấn SQL:
SELECT t.InventoryItemTypeName, SUM(s.ReceiptAmount - s.VATAmount) AS DT
FROM DM_RevenueBySaleLedger s
JOIN Dim_Products p ON s.InventoryItemCode_New = p.InventoryItemCode_New
JOIN Dim_InventoryItemType t ON p.InventoryItemType = t.InventoryItemType
GROUP BY t.InventoryItemTypeName;
Đối chiếu 4 cột nhóm vật tư.</t>
  </si>
  <si>
    <t>Cơ cấu đúng: Thành phẩm chiếm đa số (~1.04T), Vật tư HH (~0.04T), Dịch vụ, Chiết khấu</t>
  </si>
  <si>
    <t>Dim_InventoryItemType kết nối Dim_Products</t>
  </si>
  <si>
    <t>UAT_DT_01.8</t>
  </si>
  <si>
    <t>Kiểm tra Biểu đồ Doanh thu theo từng tháng của nhóm KH</t>
  </si>
  <si>
    <t>Báo cáo Doanh thu / Stacked Column</t>
  </si>
  <si>
    <t>Chạy truy vấn SQL:
SELECT d.Month, c.Excel_Customer_Category, SUM(s.ReceiptAmount - s.VATAmount) AS DT
FROM DM_RevenueBySaleLedger s
JOIN Dim_Customer c ON s.AccountObjectCode = c.AccountObjectCode
JOIN Dim_Date d ON s.PostedDate = d.Date
GROUP BY d.Month, c.Excel_Customer_Category;
Đối chiếu cơ cấu cột chồng.</t>
  </si>
  <si>
    <t>Phân tầng màu sắc rõ ràng, thể hiện đúng tỷ trọng đóng góp của từng nhóm KH qua các tháng</t>
  </si>
  <si>
    <t>Dim_Customer[Excel_Customer_Category] qua 12 tháng</t>
  </si>
  <si>
    <t>UAT_DT_01.9</t>
  </si>
  <si>
    <t>Kiểm tra Biểu đồ Donut Doanh thu theo nhóm khách hàng</t>
  </si>
  <si>
    <t>Báo cáo Doanh thu / Donut Chart</t>
  </si>
  <si>
    <t>Chạy truy vấn SQL:
SELECT c.Excel_Customer_Category, SUM(s.ReceiptAmount - s.VATAmount) AS DT
FROM DM_RevenueBySaleLedger s
JOIN Dim_Customer c ON s.AccountObjectCode = c.AccountObjectCode
GROUP BY c.Excel_Customer_Category;
Đối chiếu tỷ trọng Donut.</t>
  </si>
  <si>
    <t>Hiển thị đúng tỷ trọng %: B_CTY/ĐL (~57%), A_BV/YTE (~18%), tổng cộng tròn 100%</t>
  </si>
  <si>
    <t>Dim_Customer[Excel_Customer_Category]</t>
  </si>
  <si>
    <t>UAT_DT_01.10</t>
  </si>
  <si>
    <t>Kiểm tra Biểu đồ Doanh thu theo tháng của xí nghiệp</t>
  </si>
  <si>
    <t>Chạy truy vấn SQL:
SELECT d.Month, st.StockName, SUM(s.ReceiptAmount - s.VATAmount) AS DT
FROM DM_RevenueBySaleLedger s
JOIN Dim_Customer c ON s.AccountObjectCode = c.AccountObjectCode
JOIN Dim_Stock st ON c.StockCode = st.StockCode
JOIN Dim_Date d ON s.PostedDate = d.Date
GROUP BY d.Month, st.StockName;
Đối chiếu phân tầng xí nghiệp.</t>
  </si>
  <si>
    <t>Cột chồng thể hiện rõ 9 xí nghiệp: Bình Dương, Biên Hòa, Cần Thơ, Hải Phòng...</t>
  </si>
  <si>
    <t>Dim_Stock[StockName] qua 12 tháng</t>
  </si>
  <si>
    <t>UAT_DT_01.11</t>
  </si>
  <si>
    <t>Kiểm tra Biểu đồ Donut Doanh thu theo xí nghiệp</t>
  </si>
  <si>
    <t>Chạy truy vấn SQL:
SELECT st.StockName, SUM(s.ReceiptAmount - s.VATAmount) AS DT
FROM DM_RevenueBySaleLedger s
JOIN Dim_Customer c ON s.AccountObjectCode = c.AccountObjectCode
JOIN Dim_Stock st ON c.StockCode = st.StockCode
GROUP BY st.StockName;
Đối chiếu tỷ trọng Donut xí nghiệp.</t>
  </si>
  <si>
    <t>Hiển thị chính xác tỷ trọng: Bình Dương ~41%, Biên Hòa ~27%, Cần Thơ ~9%...</t>
  </si>
  <si>
    <t>Dim_Stock[StockName]</t>
  </si>
  <si>
    <t>[PHẦN 3] Kiểm tra Bộ lọc Slicers và Tương tác giao diện</t>
  </si>
  <si>
    <t>UAT_DT_01.12</t>
  </si>
  <si>
    <t>Kiểm tra Slicer Năm (DIM_YEAR[VALUE])</t>
  </si>
  <si>
    <t>Báo cáo Doanh thu / Slicer</t>
  </si>
  <si>
    <t>Chạy truy vấn SQL:
SELECT DISTINCT YEAR(PostedDate) AS Nam FROM DM_RevenueBySaleLedger ORDER BY Nam;
Chọn năm 2025 trên Slicer -&gt; Đối chiếu doanh thu trên Cards và biểu đồ.</t>
  </si>
  <si>
    <t>Số liệu lọc chính xác theo năm 2025. Chuyển sang All hiển thị toàn bộ 2022-2026</t>
  </si>
  <si>
    <t>DIM_YEAR: 2022, 2023, 2024, 2025, 2026, All</t>
  </si>
  <si>
    <t>UAT_DT_01.13</t>
  </si>
  <si>
    <t>Kiểm tra Slicer Nhóm khách hàng</t>
  </si>
  <si>
    <t>Chạy truy vấn SQL:
SELECT DISTINCT Excel_Customer_Category FROM Dim_Customer;
Chọn nhóm A_BV/YTE trên Slicer -&gt; Đối chiếu dữ liệu lọc.</t>
  </si>
  <si>
    <t>Toàn bộ màn hình chỉ hiển thị doanh thu của các Bệnh viện/Cơ sở Y tế</t>
  </si>
  <si>
    <t>Dim_Customer: A_BV/YTE</t>
  </si>
  <si>
    <t>UAT_DT_01.14</t>
  </si>
  <si>
    <t>Kiểm tra Slicer Tên khách hàng (Search Box)</t>
  </si>
  <si>
    <t>Chạy truy vấn SQL:
SELECT AccountObjectCode, AccountObjectName, SUM(ReceiptAmount - VATAmount) AS DT
FROM DM_RevenueBySaleLedger s JOIN Dim_Customer c ON s.AccountObjectCode = c.AccountObjectCode
WHERE c.AccountObjectName LIKE N'%Chợ Rẫy%' GROUP BY AccountObjectCode, AccountObjectName;
Gõ tìm 'Bệnh viện Chợ Rẫy' trên Slicer.</t>
  </si>
  <si>
    <t>Hiển thị chính xác doanh thu và số đơn hàng của riêng Bệnh viện Chợ Rẫy</t>
  </si>
  <si>
    <t>Dim_Customer: Bệnh viện Chợ Rẫy</t>
  </si>
  <si>
    <t>UAT_DT_01.15</t>
  </si>
  <si>
    <t>Kiểm tra Slicer Tên xí nghiệp và Nút Reset bộ lọc</t>
  </si>
  <si>
    <t>Chạy truy vấn SQL:
SELECT SUM(ReceiptAmount - VATAmount) AS DT_BD FROM DM_RevenueBySaleLedger s
JOIN Dim_Customer c ON s.AccountObjectCode = c.AccountObjectCode WHERE c.StockCode = 'BD';
Chọn xí nghiệp Bình Dương trên Slicer -&gt; Kiểm tra doanh thu đạt ~455 tỷ -&gt; Bấm Reset.</t>
  </si>
  <si>
    <t>Khi lọc hiển thị đúng chi nhánh Bình Dương; khi bấm Reset toàn bộ slicer về mặc định All</t>
  </si>
  <si>
    <t>Dim_Stock: Bình Dương -&gt; Reset</t>
  </si>
  <si>
    <t>UAT_DTCT_02.Kiểm thử Báo cáo Doanh thu Chi tiết</t>
  </si>
  <si>
    <t>[PHẦN 1] Kiểm tra các Bảng dữ liệu chi tiết và Ma trận</t>
  </si>
  <si>
    <t>UAT_DTCT_02.1</t>
  </si>
  <si>
    <t>Kiểm tra Bảng Chi tiết doanh thu theo mặt hàng</t>
  </si>
  <si>
    <t>Báo cáo DT Chi tiết / Table</t>
  </si>
  <si>
    <t>Chạy truy vấn SQL:
SELECT p.InventoryItemName, COUNT(DISTINCT s.InvNo) as SoDon, SUM(s.ReceiptAmount - s.VATAmount) as DT
FROM DM_RevenueBySaleLedger s
JOIN Dim_Products p ON s.InventoryItemCode_New = p.InventoryItemCode_New
GROUP BY p.InventoryItemName ORDER BY DT DESC;
Đối chiếu dòng Total trên bảng.</t>
  </si>
  <si>
    <t>Tổng dòng Total đạt 22.895 đơn hàng và 1.110.940.457.265 VND. Khớp tuyệt đối với trang tổng quan</t>
  </si>
  <si>
    <t>Dim_Products, DM_RevenueBySaleLedger</t>
  </si>
  <si>
    <t>UAT_DTCT_02.2</t>
  </si>
  <si>
    <t>Kiểm tra tính năng Sort và Top sản phẩm bán chạy</t>
  </si>
  <si>
    <t>Chạy truy vấn SQL:
SELECT TOP 10 p.InventoryItemName, SUM(s.ReceiptAmount - s.VATAmount) as DT
FROM DM_RevenueBySaleLedger s JOIN Dim_Products p ON s.InventoryItemCode_New = p.InventoryItemCode_New
GROUP BY p.InventoryItemName ORDER BY DT DESC;
Bấm sort giảm dần theo Doanh thu thực tế trên bảng Power BI.</t>
  </si>
  <si>
    <t>Sản phẩm có doanh thu cao nhất (Oxy lỏng, Que hàn, Nito...) xếp trên cùng chính xác</t>
  </si>
  <si>
    <t>Sort Doanh thu thực tế Descending</t>
  </si>
  <si>
    <t>UAT_DTCT_02.3</t>
  </si>
  <si>
    <t>Kiểm tra Bảng Chi tiết doanh thu theo khách hàng</t>
  </si>
  <si>
    <t>Chạy truy vấn SQL:
SELECT c.AccountObjectName, SUM(s.ReceiptAmount - s.VATAmount) as DT
FROM DM_RevenueBySaleLedger s
JOIN Dim_Customer c ON s.AccountObjectCode = c.AccountObjectCode
GROUP BY c.AccountObjectName ORDER BY DT DESC;
Đối chiếu danh sách khách hàng VIP.</t>
  </si>
  <si>
    <t>Hiển thị danh sách khách hàng đầy đủ, tổng doanh thu khớp 1.110,9 tỷ</t>
  </si>
  <si>
    <t>Dim_Customer, DM_RevenueBySaleLedger</t>
  </si>
  <si>
    <t>UAT_DTCT_02.4</t>
  </si>
  <si>
    <t>Kiểm tra Bảng Chi tiết hóa đơn chứng từ</t>
  </si>
  <si>
    <t>Chạy truy vấn SQL:
SELECT c.AccountObjectName, p.InventoryItemName, SUM(s.MainQuantity) as Qty, SUM(s.ReceiptAmount - s.VATAmount) as DT
FROM DM_RevenueBySaleLedger s
JOIN Dim_Customer c ON s.AccountObjectCode = c.AccountObjectCode
JOIN Dim_Products p ON s.InventoryItemCode_New = p.InventoryItemCode_New
GROUP BY c.AccountObjectName, p.InventoryItemName;
Đối chiếu từng dòng chứng từ.</t>
  </si>
  <si>
    <t>Khớp từng dòng chứng từ giao dịch thực tế, số lượng và doanh thu chuẩn xác</t>
  </si>
  <si>
    <t>DM_RevenueBySaleLedger_new</t>
  </si>
  <si>
    <t>UAT_DTCT_02.5</t>
  </si>
  <si>
    <t>Kiểm tra Ma trận Doanh thu theo từng nhóm và sản phẩm</t>
  </si>
  <si>
    <t>Báo cáo DT Chi tiết / Matrix</t>
  </si>
  <si>
    <t>Chạy truy vấn SQL:
SELECT st.StockName, c.Excel_Customer_Category, SUM(s.ReceiptAmount - s.VATAmount) as DT
FROM DM_RevenueBySaleLedger s
JOIN Dim_Customer c ON s.AccountObjectCode = c.AccountObjectCode
JOIN Dim_Stock st ON c.StockCode = st.StockCode
GROUP BY st.StockName, c.Excel_Customer_Category;
Đối chiếu ma trận chéo.</t>
  </si>
  <si>
    <t>Tổng giá trị phân tích chéo khớp đúng 10.539.801.735 đ (theo bộ lọc mẫu) và khớp tổng các nhóm</t>
  </si>
  <si>
    <t>Dim_Stock x Dim_Customer Category</t>
  </si>
  <si>
    <t>[PHẦN 2] Kiểm tra Bộ lọc Slicers và Tính toàn vẹn chứng từ</t>
  </si>
  <si>
    <t>UAT_DTCT_02.6</t>
  </si>
  <si>
    <t>Kiểm tra lọc đồng thời nhiều tiêu chí trên trang chi tiết</t>
  </si>
  <si>
    <t>Báo cáo DT Chi tiết / Slicers</t>
  </si>
  <si>
    <t>Chạy truy vấn SQL kiểm chứng:
SELECT s.InvNo, s.PostedDate, SUM(s.ReceiptAmount - s.VATAmount) as DT
FROM DM_RevenueBySaleLedger s JOIN Dim_Customer c ON s.AccountObjectCode = c.AccountObjectCode
WHERE YEAR(s.PostedDate) = 2025 AND c.StockCode = 'BD' AND c.Excel_Customer_Category = 'A_BV/YTE'
GROUP BY s.InvNo, s.PostedDate;
Chọn Năm 2025 + Xí nghiệp Bình Dương + Nhóm A_BV/YTE trên giao diện.</t>
  </si>
  <si>
    <t>Bảng chi tiết chỉ hiển thị các chứng từ bán hàng thỏa mãn đồng thời 3 điều kiện</t>
  </si>
  <si>
    <t>Slicers phối hợp</t>
  </si>
  <si>
    <t>UAT_DTCT_02.7</t>
  </si>
  <si>
    <t>Kiểm tra tính duy nhất và không mất mát số hóa đơn (InvNo)</t>
  </si>
  <si>
    <t>Chạy truy vấn SQL kiểm tra trùng lặp:
SELECT InvNo, COUNT(*) as SoDong FROM DM_RevenueBySaleLedger GROUP BY InvNo;
Đối chiếu với DISTINCTCOUNT(InvNo) trên Power BI.</t>
  </si>
  <si>
    <t>Không có hiện tượng duplicate hay thất thoát hóa đơn trong quá trình render (22.895 đơn)</t>
  </si>
  <si>
    <t>DISTINCTCOUNT(InvNo) = 22.895</t>
  </si>
  <si>
    <t>UAT_CN_03.Kiểm thử Báo cáo Quản lý Công nợ</t>
  </si>
  <si>
    <t>[PHẦN 1] Kiểm tra các Thẻ KPI Cards Công nợ</t>
  </si>
  <si>
    <t>UAT_CN_03.1</t>
  </si>
  <si>
    <t>Kiểm tra Thẻ Số nợ đầu kỳ</t>
  </si>
  <si>
    <t>Báo cáo Công nợ / Card</t>
  </si>
  <si>
    <t>Chạy truy vấn SQL trên DWH:
SELECT SUM(OpeningBalance) AS SoNoDauKy
FROM Datamart.DM_AccountObjectDebt;
Đối chiếu với Thẻ Card Số nợ đầu kỳ trên Power BI.</t>
  </si>
  <si>
    <t>Hiển thị đúng 668,52bn (668.515.511.446 VND) kèm Tỷ lệ % nợ đầu kỳ đạt 90,48%</t>
  </si>
  <si>
    <t>DM_AccountObjectDebt: 668.515.511.446 VND</t>
  </si>
  <si>
    <t>UAT_CN_03.2</t>
  </si>
  <si>
    <t>Kiểm tra Thẻ Số nợ phát sinh trong kỳ</t>
  </si>
  <si>
    <t>Chạy truy vấn SQL trên DWH:
SELECT SUM(PeriodAmount) AS SoNoPhatSinh
FROM Datamart.DM_AccountObjectDebt;
Đối chiếu với Thẻ Card Số nợ phát sinh trên Power BI.</t>
  </si>
  <si>
    <t>Hiển thị đúng 70,57bn (70.567.608.564 VND) kèm Tỷ lệ % nợ phát sinh đạt 9,55%</t>
  </si>
  <si>
    <t>DM_AccountObjectDebt: 70.567.608.564 VND</t>
  </si>
  <si>
    <t>UAT_CN_03.3</t>
  </si>
  <si>
    <t>Kiểm tra Thẻ Số nợ đã được thanh toán</t>
  </si>
  <si>
    <t>Chạy truy vấn SQL trên DWH:
SELECT SUM(PaidAmount) AS SoNoDaThanhToan
FROM Datamart.DM_AccountObjectDebt;
Đối chiếu với Thẻ Card Số nợ đã thanh toán trên Power BI.</t>
  </si>
  <si>
    <t>Hiển thị đúng 70,21bn (70.214.015.296 VND) kèm Tỷ lệ % nợ đã thanh toán đạt 9,50%</t>
  </si>
  <si>
    <t>DM_AccountObjectDebt: 70.214.015.296 VND</t>
  </si>
  <si>
    <t>UAT_CN_03.4</t>
  </si>
  <si>
    <t>Kiểm tra Thẻ Số nợ còn lại (Tổng nợ cuối kỳ)</t>
  </si>
  <si>
    <t>Chạy truy vấn SQL trên DWH:
SELECT SUM(ReceiptableDebtAmount) AS SoNoConLai
FROM Datamart.DM_AccountObjectDebt;
Kiểm tra phương trình kế toán: Đầu kỳ + Phát sinh - Đã thu.</t>
  </si>
  <si>
    <t>Hiển thị đúng 668,61bn (668.607.107.276 VND). Cân bằng phương trình kế toán chuẩn 100%</t>
  </si>
  <si>
    <t>668.515.511.446 + 70.567.608.564 - 70.214.015.296 = 668.607.107.276</t>
  </si>
  <si>
    <t>[PHẦN 2] Kiểm tra các Biểu đồ phân tích rủi ro và tuổi nợ</t>
  </si>
  <si>
    <t>UAT_CN_03.5</t>
  </si>
  <si>
    <t>Kiểm tra Biểu đồ Công nợ theo từng nhóm khách hàng</t>
  </si>
  <si>
    <t>Báo cáo Công nợ / Clustered Column</t>
  </si>
  <si>
    <t>Chạy truy vấn SQL:
SELECT c.Excel_Customer_Category, SUM(d.PaidAmount) as DaTT, SUM(d.ReceiptableDebtAmount) as ConLai
FROM DM_AccountObjectDebt d JOIN Dim_Customer c ON d.AccountObjectCode = c.AccountObjectCode
GROUP BY c.Excel_Customer_Category;
Đối chiếu 3 cột: Đã TT, Tổng giá trị, Còn lại.</t>
  </si>
  <si>
    <t>Hiển thị đầy đủ 3 chỉ tiêu cột chùm, phân biệt rõ các nhóm B_CTY, A_BV, C_NLE...</t>
  </si>
  <si>
    <t>UAT_CN_03.6</t>
  </si>
  <si>
    <t>Kiểm tra Biểu đồ Phân tích nợ (Rủi ro nợ)</t>
  </si>
  <si>
    <t>Chạy truy vấn SQL:
SELECT [Phân loại rủi ro nợ], SUM(DebitAmount) as TongNo
FROM Fact_AnalyticsDebit GROUP BY [Phân loại rủi ro nợ];
Đối chiếu 3 nhóm rủi ro trên biểu đồ.</t>
  </si>
  <si>
    <t>Phân loại chuẩn xác: Nợ bình thường (~2.110bn), Nợ không thể đòi (~134bn), Nợ khó đòi (~71bn)</t>
  </si>
  <si>
    <t>Fact_AnalyticsDebit[Phân loại rủi ro nợ]</t>
  </si>
  <si>
    <t>UAT_CN_03.7</t>
  </si>
  <si>
    <t>Kiểm tra Biểu đồ Phân tích nợ trước hạn</t>
  </si>
  <si>
    <t>Báo cáo Công nợ / Clustered Bar</t>
  </si>
  <si>
    <t>Chạy truy vấn SQL:
SELECT DueInterval, SUM(DebitAmount) as TongNo
FROM Fact_AnalyticsDebit WHERE DueDays &lt;= 0 GROUP BY DueInterval;
Đối chiếu các dải tuổi nợ trước hạn.</t>
  </si>
  <si>
    <t>Biểu đồ thanh ngang thể hiện đúng cơ cấu nợ chưa đến hạn: Không hạn nợ, 0-30, 31-90, &gt;90 ngày</t>
  </si>
  <si>
    <t>DueInterval &lt;= 0 ngày</t>
  </si>
  <si>
    <t>UAT_CN_03.8</t>
  </si>
  <si>
    <t>Kiểm tra Biểu đồ Phân tích nợ quá hạn theo tuổi nợ</t>
  </si>
  <si>
    <t>Chạy truy vấn SQL:
SELECT DueInterval, SUM(DebitAmount) as TongNo
FROM Fact_AnalyticsDebit WHERE DueDays &gt; 0 GROUP BY DueInterval ORDER BY DueInterval;
Đối chiếu 7 dải ngày quá hạn.</t>
  </si>
  <si>
    <t>Phân rã chính xác tuổi nợ quá hạn (1-30 đến &gt;1094 ngày), cảnh báo nợ quá hạn nghiêm trọng trên 1 năm</t>
  </si>
  <si>
    <t>DueInterval &gt; 0 ngày</t>
  </si>
  <si>
    <t>[PHẦN 3] Kiểm tra Bảng chi tiết công nợ theo khách hàng và Slicers</t>
  </si>
  <si>
    <t>UAT_CN_03.9</t>
  </si>
  <si>
    <t>Kiểm tra Bảng Chi tiết công nợ theo khách hàng</t>
  </si>
  <si>
    <t>Báo cáo Công nợ / Table</t>
  </si>
  <si>
    <t>Chạy truy vấn SQL:
SELECT d.AccountObjectCode, c.AccountObjectName, SUM(d.OpeningBalance) as DK, SUM(d.PeriodAmount) as PS, SUM(d.PaidAmount) as DaTT, SUM(d.ReceiptableDebtAmount) as ConLai
FROM DM_AccountObjectDebt d JOIN Dim_Customer c ON d.AccountObjectCode = c.AccountObjectCode
GROUP BY d.AccountObjectCode, c.AccountObjectName;
Đối chiếu dòng Total cuối bảng.</t>
  </si>
  <si>
    <t>Tổng dư nợ còn lại dòng cuối bảng đạt 668.607.107.276 đ, thông tin khách hàng chi tiết</t>
  </si>
  <si>
    <t>DM_AccountObjectDebt, Dim_Customer</t>
  </si>
  <si>
    <t>UAT_CN_03.10</t>
  </si>
  <si>
    <t>Kiểm tra Slicer Loại nợ (Tài khoản kế toán)</t>
  </si>
  <si>
    <t>Báo cáo Công nợ / Slicer</t>
  </si>
  <si>
    <t>Chạy truy vấn SQL:
SELECT DISTINCT Account FROM Dim_Account WHERE Account IN ('131', '1361', '344', '2442');
Lọc lần lượt từng tài khoản trên Slicer Power BI.</t>
  </si>
  <si>
    <t>Dữ liệu lọc chính xác theo tài khoản kế toán được chọn, kiểm soát đúng nghiệp vụ</t>
  </si>
  <si>
    <t>DIM_ACCOUNT: 131, 1361, 344, 2442, All</t>
  </si>
  <si>
    <t>UAT_CN_03.11</t>
  </si>
  <si>
    <t>Kiểm tra Slicers Nợ trước hạn và Nợ quá hạn</t>
  </si>
  <si>
    <t>Báo cáo Công nợ / Slicers</t>
  </si>
  <si>
    <t>Chạy truy vấn SQL:
SELECT c.AccountObjectName, SUM(DebitAmount) as NoXau FROM Fact_AnalyticsDebit a
JOIN Dim_Customer c ON a.AccountObjectCode = c.AccountObjectCode WHERE a.DueInterval = '&gt; 1094 ngày' GROUP BY c.AccountObjectName;
Chọn dải nợ quá hạn '&gt;1094 ngày' trên Slicer.</t>
  </si>
  <si>
    <t>Danh sách tự động lọc ra các khách hàng nợ xấu để phục vụ đội thu hồi công nợ xử lý</t>
  </si>
  <si>
    <t>Slicers Trạng thái hạn nợ</t>
  </si>
  <si>
    <t>UAT_KPI_04.Kiểm thử Báo cáo Tổng quan KPI (A3)</t>
  </si>
  <si>
    <t>[PHẦN 1] Kiểm tra Khối chỉ số KPI Năm (KHSX, KHDT và % hoàn thành)</t>
  </si>
  <si>
    <t>UAT_KPI_04.1</t>
  </si>
  <si>
    <t>Kiểm tra Thẻ Kế hoạch sản xuất năm</t>
  </si>
  <si>
    <t>Báo cáo KPI / Card Năm</t>
  </si>
  <si>
    <t>Chạy truy vấn SQL trên DWH:
SELECT SUM(Production) AS KHSX_Nam
FROM Datamart.FACT_KPI_YEAR WHERE Year = '2025';
Đối chiếu với Thẻ Card KHSX năm trên Power BI.</t>
  </si>
  <si>
    <t>Hiển thị đúng 165,96bn (165.961.298.026 VND). Khớp chỉ tiêu giao đầu năm</t>
  </si>
  <si>
    <t>Fact_KPI_Year[Production]: 165.961.298.026 VND</t>
  </si>
  <si>
    <t>UAT_KPI_04.2</t>
  </si>
  <si>
    <t>Kiểm tra Thẻ % hoàn thành KHSX năm</t>
  </si>
  <si>
    <t>Chạy truy vấn SQL:
SELECT (SELECT SUM(ProductValue) FROM FACT_ACTUALPRODUCTION WHERE YEAR(Date) = 2025) / (SELECT SUM(Production) FROM FACT_KPI_YEAR WHERE Year = '2025') AS TyLe_KHSX;
Đối chiếu với Thẻ Card % hoàn thành KHSX năm.</t>
  </si>
  <si>
    <t>Hiển thị đúng 111,89%. Tỷ lệ hoàn thành vượt kế hoạch sản xuất cả năm</t>
  </si>
  <si>
    <t>185.691.373.784 / 165.961.298.026 = 111,89%</t>
  </si>
  <si>
    <t>UAT_KPI_04.3</t>
  </si>
  <si>
    <t>Kiểm tra Thẻ Kế hoạch doanh thu năm</t>
  </si>
  <si>
    <t>Chạy truy vấn SQL trên DWH:
SELECT SUM(Amount) AS KHDT_Nam
FROM Datamart.FACT_KPI_YEAR WHERE Year = '2025';
Đối chiếu với Thẻ Card KHDT năm trên Power BI.</t>
  </si>
  <si>
    <t>Hiển thị đúng 244,87bn (244.868.212.991 VND)</t>
  </si>
  <si>
    <t>Fact_KPI_Year[Amount]: 244.868.212.991 VND</t>
  </si>
  <si>
    <t>UAT_KPI_04.4</t>
  </si>
  <si>
    <t>Kiểm tra Thẻ % hoàn thành KHDT năm</t>
  </si>
  <si>
    <t>Chạy truy vấn SQL:
SELECT (SELECT SUM(ReceiptAmount - VATAmount) FROM DM_RevenueBySaleLedger WHERE YEAR(PostedDate) = 2025) / (SELECT SUM(Amount) FROM FACT_KPI_YEAR WHERE Year = '2025') AS TyLe_KHDT;
Đối chiếu với Thẻ Card % hoàn thành KHDT năm.</t>
  </si>
  <si>
    <t>Hiển thị đúng 132,27%. Tỷ lệ hoàn thành vượt kế hoạch doanh thu cả năm</t>
  </si>
  <si>
    <t>323.891.870.888 / 244.868.212.991 = 132,27%</t>
  </si>
  <si>
    <t>[PHẦN 2] Kiểm tra Khối chỉ số theo Tháng (KPI DT, DT thực tế, KPI GTSX, GTSX thực tế)</t>
  </si>
  <si>
    <t>UAT_KPI_04.5</t>
  </si>
  <si>
    <t>Kiểm tra Thẻ KPI Doanh thu tháng</t>
  </si>
  <si>
    <t>Báo cáo KPI / Card Tháng</t>
  </si>
  <si>
    <t>Chạy truy vấn SQL trên DWH:
SELECT SUM(Amount) AS KPI_DT
FROM Datamart.FACT_KPI_MONTH WHERE YEAR(Date) = 2025;
Đối chiếu với Thẻ Card KPI Doanh thu trên Power BI.</t>
  </si>
  <si>
    <t>Hiển thị đúng 296,36bn (296.363.017.144 VND)</t>
  </si>
  <si>
    <t>Fact_KPI_Month: 296.363.017.144 VND</t>
  </si>
  <si>
    <t>UAT_KPI_04.6</t>
  </si>
  <si>
    <t>Kiểm tra Thẻ Doanh thu thực tế tháng</t>
  </si>
  <si>
    <t>Chạy truy vấn SQL trên DWH:
SELECT SUM(ReceiptAmount) - SUM(VATAmount) AS DT_ThucTe
FROM Datamart.DM_RevenueBySaleLedger WHERE YEAR(PostedDate) = 2025;
Đối chiếu với Thẻ Card Doanh thu thực tế.</t>
  </si>
  <si>
    <t>Hiển thị đúng 323,89bn (323.891.870.888 VND)</t>
  </si>
  <si>
    <t>DM_RevenueBySaleLedger: 323.891.870.888 VND</t>
  </si>
  <si>
    <t>UAT_KPI_04.7</t>
  </si>
  <si>
    <t>Kiểm tra Thẻ Tỉ lệ hoàn thành KPI DT tháng</t>
  </si>
  <si>
    <t>Chạy truy vấn SQL:
SELECT 323891870888.0 / 296363017144.0 AS TyLe_KPI_DT;
Đối chiếu với Thẻ Card Tỉ lệ hoàn thành KPI DT.</t>
  </si>
  <si>
    <t>Hiển thị đúng 109,29%. Vượt kế hoạch 9,29%</t>
  </si>
  <si>
    <t>323.891.870.888 / 296.363.017.144 = 109,29%</t>
  </si>
  <si>
    <t>UAT_KPI_04.8</t>
  </si>
  <si>
    <t>Kiểm tra Thẻ KPI Giá trị sản xuất tháng</t>
  </si>
  <si>
    <t>Chạy truy vấn SQL trên DWH:
SELECT SUM(ProductionValue) AS KPI_GTSX
FROM Datamart.FACT_KPI_MONTH WHERE YEAR(Date) = 2025;
Đối chiếu với Thẻ Card KPI GTSX trên Power BI.</t>
  </si>
  <si>
    <t>Hiển thị đúng 170,43bn (170.425.390.077 VND)</t>
  </si>
  <si>
    <t>Fact_KPI_Month: 170.425.390.077 VND</t>
  </si>
  <si>
    <t>UAT_KPI_04.9</t>
  </si>
  <si>
    <t>Kiểm tra Thẻ Giá trị sản xuất thực tế tháng</t>
  </si>
  <si>
    <t>Chạy truy vấn SQL trên DWH:
SELECT SUM(ProductValue) AS GTSX_ThucTe
FROM Datamart.FACT_ACTUALPRODUCTION WHERE YEAR(Date) = 2025;
Đối chiếu với Thẻ Card GTSX thực tế.</t>
  </si>
  <si>
    <t>Hiển thị đúng 185,69bn (185.691.373.784 VND)</t>
  </si>
  <si>
    <t>Fact_ActualProduction: 185.691.373.784 VND</t>
  </si>
  <si>
    <t>UAT_KPI_04.10</t>
  </si>
  <si>
    <t>Kiểm tra Thẻ % Giá trị Sản xuất tháng</t>
  </si>
  <si>
    <t>Chạy truy vấn SQL:
SELECT 185691373784.0 / 170425390077.0 AS TyLe_GTSX;
Đối chiếu với Thẻ Card % Giá trị Sản xuất.</t>
  </si>
  <si>
    <t>Hiển thị đúng 108,96%. Vượt kế hoạch sản xuất 8,96%</t>
  </si>
  <si>
    <t>185.691.373.784 / 170.425.390.077 = 108,96%</t>
  </si>
  <si>
    <t>[PHẦN 3] Kiểm tra Khối Lũy kế YTD và So sánh cùng kỳ YoY</t>
  </si>
  <si>
    <t>UAT_KPI_04.11</t>
  </si>
  <si>
    <t>Kiểm tra Thẻ Lũy kế doanh thu (YTD)</t>
  </si>
  <si>
    <t>Báo cáo KPI / Card Lũy kế</t>
  </si>
  <si>
    <t>Chạy truy vấn SQL trên DWH:
SELECT SUM(ReceiptAmount) - SUM(VATAmount) AS LK_DT
FROM DM_RevenueBySaleLedger WHERE YEAR(PostedDate) = 2025;
Đối chiếu với Thẻ Card Lũy kế doanh thu.</t>
  </si>
  <si>
    <t>TOTALYTD DAX Measure</t>
  </si>
  <si>
    <t>UAT_KPI_04.12</t>
  </si>
  <si>
    <t>Kiểm tra Thẻ DT cùng kì năm trước</t>
  </si>
  <si>
    <t>Chạy truy vấn SQL trên DWH:
SELECT SUM(ReceiptAmount) - SUM(VATAmount) AS DT_2024
FROM DM_RevenueBySaleLedger WHERE YEAR(PostedDate) = 2024;
Đối chiếu với Thẻ Card DT cùng kì năm trước.</t>
  </si>
  <si>
    <t>Hiển thị đúng 306,29bn (306.292.622.822 VND) của năm 2024</t>
  </si>
  <si>
    <t>SAMEPERIODLASTYEAR DAX Measure</t>
  </si>
  <si>
    <t>UAT_KPI_04.13</t>
  </si>
  <si>
    <t>Kiểm tra Thẻ %Doanh thu so với cùng kì (YoY)</t>
  </si>
  <si>
    <t>Chạy truy vấn SQL:
SELECT 323891870888.0 / 306292622822.0 AS TyLe_TangTruong_DT;
Đối chiếu với Thẻ Card %Doanh thu so với cùng kì.</t>
  </si>
  <si>
    <t>Hiển thị đúng 105,75% (Tăng trưởng dương +5,75% so với cùng kỳ năm trước)</t>
  </si>
  <si>
    <t>323.891.870.888 / 306.292.622.822 = 105,75%</t>
  </si>
  <si>
    <t>UAT_KPI_04.14</t>
  </si>
  <si>
    <t>Kiểm tra Thẻ Lũy kế giá trị sản xuất (YTD)</t>
  </si>
  <si>
    <t>Chạy truy vấn SQL trên DWH:
SELECT SUM(ProductValue) AS LK_GTSX
FROM FACT_ACTUALPRODUCTION WHERE YEAR(Date) = 2025;
Đối chiếu với Thẻ Card Lũy kế giá trị sản xuất.</t>
  </si>
  <si>
    <t>Hiển thị đúng 186bn (185.691.373.784 VND)</t>
  </si>
  <si>
    <t>TOTALYTD GTSX DAX Measure</t>
  </si>
  <si>
    <t>UAT_KPI_04.15</t>
  </si>
  <si>
    <t>Kiểm tra Thẻ GTSX cùng kì năm trước</t>
  </si>
  <si>
    <t>Chạy truy vấn SQL trên DWH:
SELECT SUM(ProductValue) AS GTSX_2024
FROM FACT_ACTUALPRODUCTION WHERE YEAR(Date) = 2024;
Đối chiếu với Thẻ Card GTSX cùng kì năm trước.</t>
  </si>
  <si>
    <t>Hiển thị đúng 160bn (159.739.606.844 VND) của năm 2024</t>
  </si>
  <si>
    <t>SAMEPERIODLASTYEAR GTSX DAX Measure</t>
  </si>
  <si>
    <t>UAT_KPI_04.16</t>
  </si>
  <si>
    <t>Kiểm tra Thẻ %GTSX so với cùng kì (YoY)</t>
  </si>
  <si>
    <t>Chạy truy vấn SQL:
SELECT 185691373784.0 / 159739606844.0 AS TyLe_TangTruong_GTSX;
Đối chiếu với Thẻ Card %GTSX so với cùng kì.</t>
  </si>
  <si>
    <t>Hiển thị đúng 116,25% (Tăng trưởng sản xuất mạnh mẽ +16,25% YoY)</t>
  </si>
  <si>
    <t>185.691.373.784 / 159.739.606.844 = 116,25%</t>
  </si>
  <si>
    <t>[PHẦN 4] Kiểm tra 5 Biểu đồ so sánh xu hướng (Tháng, Chi nhánh, Nhóm sản phẩm)</t>
  </si>
  <si>
    <t>UAT_KPI_04.17</t>
  </si>
  <si>
    <t>Kiểm tra Biểu đồ Doanh thu và KPI theo tháng</t>
  </si>
  <si>
    <t>Báo cáo KPI / Line &amp; Column</t>
  </si>
  <si>
    <t>Chạy truy vấn SQL:
SELECT d.Month, SUM(k.Amount) as KPI_DT, SUM(s.ReceiptAmount - s.VATAmount) as DT
FROM Dim_Date d LEFT JOIN FACT_KPI_MONTH k ON d.Date = k.Date
LEFT JOIN DM_RevenueBySaleLedger s ON d.Date = s.PostedDate
WHERE d.Year = 2025 GROUP BY d.Month ORDER BY d.Month;
Đối chiếu các tháng trên biểu đồ.</t>
  </si>
  <si>
    <t>Biểu đồ thể hiện trực quan các tháng đạt và vượt kế hoạch doanh thu</t>
  </si>
  <si>
    <t>Fact_KPI_Month vs DM_RevenueBySaleLedger</t>
  </si>
  <si>
    <t>UAT_KPI_04.18</t>
  </si>
  <si>
    <t>Kiểm tra Biểu đồ Doanh thu và KPI theo chi nhánh</t>
  </si>
  <si>
    <t>Chạy truy vấn SQL:
SELECT st.StockName, SUM(k.Amount) as KPI_DT, SUM(s.ReceiptAmount - s.VATAmount) as DT
FROM Dim_Stock st LEFT JOIN FACT_KPI_MONTH k ON st.StockCode = k.StockCode
LEFT JOIN Dim_Customer c ON st.StockCode = c.StockCode
LEFT JOIN DM_RevenueBySaleLedger s ON c.AccountObjectCode = s.AccountObjectCode
GROUP BY st.StockName;
Đối chiếu hiệu quả từng chi nhánh.</t>
  </si>
  <si>
    <t>Nhận diện rõ chi nhánh vượt chỉ tiêu và chi nhánh cần đẩy mạnh bán hàng</t>
  </si>
  <si>
    <t>Group by Dim_Stock[StockName]</t>
  </si>
  <si>
    <t>UAT_KPI_04.19</t>
  </si>
  <si>
    <t>Kiểm tra Biểu đồ Donut Tỉ lệ đóng góp DT theo từng chi nhánh</t>
  </si>
  <si>
    <t>Báo cáo KPI / Donut Chart</t>
  </si>
  <si>
    <t>Chạy truy vấn SQL:
SELECT st.StockName, SUM(s.ReceiptAmount - s.VATAmount) as DT
FROM DM_RevenueBySaleLedger s JOIN Dim_Customer c ON s.AccountObjectCode = c.AccountObjectCode
JOIN Dim_Stock st ON c.StockCode = st.StockCode WHERE YEAR(s.PostedDate) = 2025
GROUP BY st.StockName;
Đối chiếu tỷ trọng Donut.</t>
  </si>
  <si>
    <t>Hiển thị chính xác tỷ trọng đóng góp: Bình Dương ~41%, Biên Hòa ~27%...</t>
  </si>
  <si>
    <t>UAT_KPI_04.20</t>
  </si>
  <si>
    <t>Kiểm tra Biểu đồ Doanh thu và KPI theo nhóm sản phẩm</t>
  </si>
  <si>
    <t>Báo cáo KPI / Clustered Column</t>
  </si>
  <si>
    <t>Chạy truy vấn SQL:
SELECT cat.CategoryName, SUM(k.Amount) as KPI_DT, SUM(s.ReceiptAmount - s.VATAmount) as DT
FROM Dim_ProductCategories cat
LEFT JOIN FACT_KPI_BY_PRODUCT k ON cat.CategoryName = k.CategoryName AND k.Year = '2025'
GROUP BY cat.CategoryName;
Đối chiếu cột kép kế hoạch vs thực tế.</t>
  </si>
  <si>
    <t>Hiển thị đầy đủ kế hoạch và thực tế của các nhóm SP (Oxy, Nito, Argon, Que hàn...)</t>
  </si>
  <si>
    <t>Dim_ProductCategories[CategoryName]</t>
  </si>
  <si>
    <t>UAT_KPI_04.21</t>
  </si>
  <si>
    <t>Kiểm tra Biểu đồ Donut Tỉ lệ đóng góp DT theo nhóm sản phẩm</t>
  </si>
  <si>
    <t>Chạy truy vấn SQL:
SELECT cat.CategoryName, SUM(s.ReceiptAmount - s.VATAmount) as DT
FROM DM_RevenueBySaleLedger s JOIN Dim_Products p ON s.InventoryItemCode_New = p.InventoryItemCode_New
JOIN Dim_ProductCategories cat ON p.Excel_Category_Name = cat.CategoryName WHERE YEAR(s.PostedDate) = 2025
GROUP BY cat.CategoryName;
Đối chiếu cơ cấu đóng góp Donut.</t>
  </si>
  <si>
    <t>Hiển thị tỷ lệ đóng góp chuẩn xác, màu sắc trực quan</t>
  </si>
  <si>
    <t>[PHẦN 5] Kiểm tra Bộ lọc Slicers (Năm 2025, Sản phẩm, Xí nghiệp)</t>
  </si>
  <si>
    <t>UAT_KPI_04.22</t>
  </si>
  <si>
    <t>Kiểm tra đồng bộ Slicer Năm 2025, Nhóm sản phẩm và Xí nghiệp</t>
  </si>
  <si>
    <t>Báo cáo KPI / Slicers</t>
  </si>
  <si>
    <t>Chạy truy vấn SQL kiểm chứng:
SELECT SUM(s.ReceiptAmount - s.VATAmount) as DT_BH_Oxy FROM DM_RevenueBySaleLedger s
JOIN Dim_Customer c ON s.AccountObjectCode = c.AccountObjectCode
JOIN Dim_Products p ON s.InventoryItemCode_New = p.InventoryItemCode_New
WHERE YEAR(s.PostedDate) = 2025 AND c.StockCode = 'BH' AND p.Excel_Category_Name LIKE '%Oxy%';
Lọc Năm 2025 -&gt; Nhóm Oxy -&gt; Xí nghiệp Biên Hòa trên giao diện.</t>
  </si>
  <si>
    <t>Toàn bộ 16 thẻ Cards và 5 biểu đồ tự động cập nhật đúng chỉ tiêu và thực tế của Biên Hòa mảng Oxy</t>
  </si>
  <si>
    <t>Slicers tương tác chéo</t>
  </si>
  <si>
    <t>UAT_KPICT_05.Kiểm thử Báo cáo KPI Chi tiết &amp; Sức khỏe tài chính</t>
  </si>
  <si>
    <t>[PHẦN 1] Kiểm tra 5 Bảng dữ liệu chiến lược và Sức khỏe tài chính</t>
  </si>
  <si>
    <t>UAT_KPICT_05.1</t>
  </si>
  <si>
    <t>Kiểm tra Bảng Kế hoạch doanh thu năm cho từng chi nhánh</t>
  </si>
  <si>
    <t>Báo cáo KPI Chi tiết / Table</t>
  </si>
  <si>
    <t>Chạy truy vấn SQL trên DWH:
SELECT Parent_Stock, SUM(Amount) as KHDT, SUM(Production) as KHSX
FROM FACT_KPI_YEAR WHERE Year = '2025'
GROUP BY Parent_Stock;
Đối chiếu với bảng Kế hoạch chi nhánh trên Power BI.</t>
  </si>
  <si>
    <t>Khớp chính xác quyết định giao chỉ tiêu đầu năm từ file A3 (KHDT: 244.87bn, KHSX: 165.96bn)</t>
  </si>
  <si>
    <t>Fact_KPI_Year, Dim_Stock</t>
  </si>
  <si>
    <t>UAT_KPICT_05.2</t>
  </si>
  <si>
    <t>Kiểm tra Bảng Kế hoạch doanh thu năm cho từng sản phẩm</t>
  </si>
  <si>
    <t>Chạy truy vấn SQL trên DWH:
SELECT CategoryName, SUM(ProductQuantityDVC) as KHSX, SUM(SaleQuantityDVC) as KHTT, SUM(Amount) as KPI_DT
FROM FACT_KPI_BY_PRODUCT WHERE Year = '2025'
GROUP BY CategoryName;
Đối chiếu dòng Total trên bảng.</t>
  </si>
  <si>
    <t>Tổng cộng dòng Total khớp đúng chỉ tiêu giao 21 nhóm SP: KHSX DVC 49.38M, KHTT DVC 51.15M, DT 547.88bn</t>
  </si>
  <si>
    <t>Fact_KPI_By_Product, Dim_ProductCategories</t>
  </si>
  <si>
    <t>UAT_KPICT_05.3</t>
  </si>
  <si>
    <t>Kiểm tra Bảng Sức khỏe tài chính theo chi nhánh (Lọc tháng)</t>
  </si>
  <si>
    <t>Chạy truy vấn SQL trên DWH:
SELECT st.StockName, SUM(k.ProductionValue) as KPISX, SUM(k.Amount) as KPIDT, SUM(p.ProductValue) as GTSX, SUM(s.ReceiptAmount - s.VATAmount) as DT
FROM Dim_Stock st
LEFT JOIN FACT_KPI_MONTH k ON st.StockCode = k.StockCode
LEFT JOIN FACT_ACTUALPRODUCTION p ON st.StockCode = p.FactoryCode
LEFT JOIN Dim_Customer c ON st.StockCode = c.StockCode
LEFT JOIN DM_RevenueBySaleLedger s ON c.AccountObjectCode = s.AccountObjectCode
GROUP BY st.StockName;
Đối chiếu 4 chỉ tiêu của từng chi nhánh.</t>
  </si>
  <si>
    <t>Bảng tổng hợp chiến lược thể hiện đầy đủ bức tranh hiệu quả kinh doanh của 9 xí nghiệp</t>
  </si>
  <si>
    <t>Fact_KPI_Month, Fact_ActualProduction, DM_Revenue</t>
  </si>
  <si>
    <t>UAT_KPICT_05.4</t>
  </si>
  <si>
    <t>Kiểm tra Bảng KPI theo sản phẩm (Đối chiếu Kế hoạch vs Thực tế)</t>
  </si>
  <si>
    <t>Chạy truy vấn SQL trên DWH:
SELECT cat.CategoryName, SUM(k.ProductQuantityDVC) as KHSX, SUM(p.ProductQuantityDVC) as SX_TT, SUM(k.SaleQuantityDVC) as KHTT, SUM(s.MainQuantity) as TT_TT, SUM(k.Amount) as KPI_DT, SUM(s.ReceiptAmount - s.VATAmount) as DT_TT
FROM Dim_ProductCategories cat
LEFT JOIN FACT_KPI_BY_PRODUCT k ON cat.CategoryName = k.CategoryName AND k.Year = '2025'
LEFT JOIN FACT_ACTUALPRODUCTION p ON cat.CategoryName = p.CategoryName AND YEAR(p.Date) = 2025
GROUP BY cat.CategoryName;
Đối chiếu từng dòng sản phẩm.</t>
  </si>
  <si>
    <t>Khớp số liệu, khắc phục triệt để lỗi trùng lặp số kế hoạch giữa các dòng, tính % hoàn thành chuẩn xác</t>
  </si>
  <si>
    <t>Fact_KPI_By_Product, Fact_ActualProduction, DM_Revenue</t>
  </si>
  <si>
    <t>UAT_KPICT_05.5</t>
  </si>
  <si>
    <t>Kiểm tra Bảng Báo cáo doanh thu theo loại dịch vụ</t>
  </si>
  <si>
    <t>Chạy truy vấn SQL trên DWH:
SELECT st.StockName, SUM(k.Amount) as KPI_DV, SUM(s.ReceiptAmount - s.VATAmount) as DT_DV
FROM Dim_Stock st
LEFT JOIN FACT_KPI_MONTH k ON st.StockCode = k.StockCode AND k.Indicator = 'DV' AND YEAR(k.Date) = 2025
LEFT JOIN Dim_Customer c ON st.StockCode = c.StockCode
LEFT JOIN DM_RevenueBySaleLedger s ON c.AccountObjectCode = s.AccountObjectCode AND YEAR(s.PostedDate) = 2025
GROUP BY st.StockName;
Đối chiếu mảng dịch vụ theo kho.</t>
  </si>
  <si>
    <t>Năm 2025 thực tế hiển thị 0 do không phát sinh chứng từ DV (năm 2023 đạt 17.73 tỷ). Báo cáo hoạt động chính xác</t>
  </si>
  <si>
    <t>Fact_KPI_Month (DV), DM_RevenueBySaleLedger</t>
  </si>
  <si>
    <t>[PHẦN 2] Kiểm tra Quy đổi đơn vị chuẩn (DVC) và Bộ lọc Slicers</t>
  </si>
  <si>
    <t>UAT_KPICT_05.6</t>
  </si>
  <si>
    <t>Kiểm tra hệ số quy đổi đơn vị chuẩn (DVC)</t>
  </si>
  <si>
    <t>Báo cáo KPI Chi tiết / DAX</t>
  </si>
  <si>
    <t>Chạy truy vấn SQL kiểm tra hệ số quy đổi:
SELECT InventoryItemCode_New, InventoryItemName, Unit, UnitDVC, ConversionRate
FROM Dim_Products WHERE UnitDVC IS NOT NULL;
Đối chiếu quy đổi sản phẩm khí sang m3 tiêu chuẩn DVC.</t>
  </si>
  <si>
    <t>Hệ số quy đổi hoạt động chuẩn xác, không bị sai lệch số lượng sản xuất và tiêu thụ</t>
  </si>
  <si>
    <t>Fact_KPI_By_Product: QuantityDVT -&gt; QuantityDVC</t>
  </si>
  <si>
    <t>UAT_KPICT_05.7</t>
  </si>
  <si>
    <t>Kiểm tra Slicers Năm, Nhóm SP, Tên xí nghiệp trên 5 bảng</t>
  </si>
  <si>
    <t>Báo cáo KPI Chi tiết / Slicers</t>
  </si>
  <si>
    <t>Thử nghiệm chọn lần lượt từng bộ lọc Slicer trên Power BI và kiểm tra phản ứng của cả 5 bảng.</t>
  </si>
  <si>
    <t>Cả 5 bảng phản hồi nhanh, đồng bộ, lọc dữ liệu chính xác theo phân quyền chi nhánh</t>
  </si>
  <si>
    <t>Slicers tương tác</t>
  </si>
  <si>
    <t>BẢNG TỔNG HỢP BẰNG CHỨNG KIỂM THỬ (TEST EVIDENCE LOG) — DỰ ÁN SOVIGAZ</t>
  </si>
  <si>
    <t>Mã Scenario</t>
  </si>
  <si>
    <t>Mã Case ID</t>
  </si>
  <si>
    <t>Nội dung kiểm thử</t>
  </si>
  <si>
    <t>Nguồn đối soát / Hệ thống</t>
  </si>
  <si>
    <t>Kết quả đối soát</t>
  </si>
  <si>
    <t>Tài liệu / Ảnh chụp bằng chứng</t>
  </si>
  <si>
    <t>1</t>
  </si>
  <si>
    <t>UAT_DT_01.1 -&gt; UAT_DT_01.5</t>
  </si>
  <si>
    <t>Kiểm tra 5 thẻ KPI Cards Doanh thu thuần, Thuế, Đơn hàng, AOV</t>
  </si>
  <si>
    <t>Dash.pbix -&gt; Page 1 &amp; SQL DM_RevenueBySaleLedger</t>
  </si>
  <si>
    <t>Khớp 100% (Variance=0)</t>
  </si>
  <si>
    <t>media_1791087595180.png, UAT_SOVIGAZ.xlsx</t>
  </si>
  <si>
    <t>2</t>
  </si>
  <si>
    <t>UAT_DT_01.6 -&gt; UAT_DT_01.11</t>
  </si>
  <si>
    <t>Kiểm tra 6 Biểu đồ xu hướng 12 tháng, cơ cấu nhóm hàng, KH, XN</t>
  </si>
  <si>
    <t>Dash.pbix -&gt; Page 1 Visuals</t>
  </si>
  <si>
    <t>Khớp 100%</t>
  </si>
  <si>
    <t>3</t>
  </si>
  <si>
    <t>UAT_DTCT_02.1 -&gt; UAT_DTCT_02.5</t>
  </si>
  <si>
    <t>Kiểm tra Bảng chi tiết mặt hàng, khách hàng, hóa đơn, ma trận</t>
  </si>
  <si>
    <t>Dash.pbix -&gt; Page 2 &amp; SQL Sales Ledger Detail</t>
  </si>
  <si>
    <t>media_1791087605396.png, UAT_SOVIGAZ.xlsx</t>
  </si>
  <si>
    <t>4</t>
  </si>
  <si>
    <t>UAT_CN_03.1 -&gt; UAT_CN_03.4</t>
  </si>
  <si>
    <t>Kiểm tra 4 Cards công nợ: Đầu kỳ, Phát sinh, Đã thu, Còn lại</t>
  </si>
  <si>
    <t>Dash.pbix -&gt; Page 3 &amp; SQL DM_AccountObjectDebt</t>
  </si>
  <si>
    <t>Khớp 100% (668,61 tỷ)</t>
  </si>
  <si>
    <t>media_1791087614119.png, SIT tổng hợp công nợ</t>
  </si>
  <si>
    <t>5</t>
  </si>
  <si>
    <t>UAT_CN_03.5 -&gt; UAT_CN_03.8</t>
  </si>
  <si>
    <t>Kiểm tra phân tích rủi ro nợ và 7 dải tuổi nợ quá hạn</t>
  </si>
  <si>
    <t>Dash.pbix -&gt; Page 3 &amp; SQL Fact_AnalyticsDebit</t>
  </si>
  <si>
    <t>media_1791087614119.png, SIT phân tích nợ</t>
  </si>
  <si>
    <t>6</t>
  </si>
  <si>
    <t>UAT_KPI_04.1 -&gt; UAT_KPI_04.16</t>
  </si>
  <si>
    <t>Kiểm tra 16 Cards KPI Năm, Tháng, Lũy kế YTD, So sánh cùng kỳ YoY</t>
  </si>
  <si>
    <t>Dash.pbix -&gt; Page 4 &amp; SQL KPI Month / Year / Production</t>
  </si>
  <si>
    <t>media_1791087623846.png, UAT_SOVIGAZ.xlsx</t>
  </si>
  <si>
    <t>7</t>
  </si>
  <si>
    <t>UAT_KPI_04.17 -&gt; UAT_KPI_04.21</t>
  </si>
  <si>
    <t>Kiểm tra 5 Biểu đồ so sánh tháng, chi nhánh, nhóm sản phẩm</t>
  </si>
  <si>
    <t>Dash.pbix -&gt; Page 4 Visuals</t>
  </si>
  <si>
    <t>8</t>
  </si>
  <si>
    <t>UAT_KPICT_05.1 -&gt; UAT_KPICT_05.5</t>
  </si>
  <si>
    <t>Kiểm tra 5 Bảng dữ liệu chiến lược &amp; Sức khỏe tài chính xí nghiệp</t>
  </si>
  <si>
    <t>Dash.pbix -&gt; Page 5 &amp; SQL Fact_KPI_By_Product</t>
  </si>
  <si>
    <t>media_1791087631055.png, UAT_SOVIGAZ.xlsx</t>
  </si>
  <si>
    <t>Tên của chính mình</t>
  </si>
  <si>
    <t>Kiểm tra cấu trúc bảng</t>
  </si>
  <si>
    <t>Scenario-1.1</t>
  </si>
  <si>
    <t>Scenario-1.2</t>
  </si>
  <si>
    <t>Kiểm tra chi tiết dữ liệu</t>
  </si>
  <si>
    <t>Scenario-1.3</t>
  </si>
  <si>
    <t>Scenario-1.4</t>
  </si>
  <si>
    <t>Scenario-1.5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</si>
</sst>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6" x14ac:knownFonts="1">
    <font>
      <sz val="11"/>
      <color theme="1"/>
      <name val="Calibri"/>
      <charset val="1"/>
    </font>
    <font>
      <sz val="20"/>
      <color theme="1"/>
      <name val="Times New Roman"/>
      <charset val="1"/>
    </font>
    <font>
      <b/>
      <sz val="11"/>
      <color theme="1"/>
      <name val="Times New Roman"/>
      <charset val="1"/>
    </font>
    <font>
      <sz val="11"/>
      <color theme="1"/>
      <name val="Times New Roman"/>
      <charset val="1"/>
    </font>
    <font>
      <b/>
      <i/>
      <sz val="11"/>
      <color theme="1"/>
      <name val="Times New Roman"/>
      <charset val="1"/>
    </font>
    <font>
      <b/>
      <i/>
      <sz val="11"/>
      <color rgb="FFCD5937"/>
      <name val="Times New Roman"/>
      <charset val="1"/>
    </font>
    <font>
      <b/>
      <sz val="12"/>
      <color theme="1"/>
      <name val="Times New Roman"/>
      <charset val="1"/>
    </font>
    <font>
      <b/>
      <sz val="18"/>
      <color theme="1"/>
      <name val="Times New Roman"/>
      <charset val="1"/>
    </font>
    <font>
      <i/>
      <sz val="11"/>
      <color rgb="FFCD5937"/>
      <name val="Times New Roman"/>
      <charset val="1"/>
    </font>
    <font>
      <sz val="11"/>
      <name val="Times New Roman"/>
    </font>
    <font>
      <b/>
      <sz val="11"/>
      <name val="Times New Roman"/>
    </font>
    <font>
      <b/>
      <sz val="11"/>
      <color rgb="FF375623"/>
      <name val="Times New Roman"/>
    </font>
    <font>
      <b/>
      <sz val="14"/>
      <color rgb="FF1F497D"/>
      <name val="Times New Roman"/>
    </font>
    <font>
      <i/>
      <sz val="11"/>
      <name val="Times New Roman"/>
    </font>
    <font>
      <b/>
      <sz val="11"/>
      <color rgb="FF375623"/>
      <name val="Times New Roman"/>
    </font>
    <font>
      <b/>
      <sz val="11"/>
      <color rgb="FFC00000"/>
      <name val="Times New Roman"/>
    </font>
  </fonts>
  <fills count="17">
    <fill>
      <patternFill patternType="none"/>
    </fill>
    <fill>
      <patternFill patternType="gray125"/>
    </fill>
    <fill>
      <patternFill patternType="solid">
        <fgColor rgb="FF9CC2E5"/>
        <bgColor rgb="FFBDD6EE"/>
      </patternFill>
    </fill>
    <fill>
      <patternFill patternType="solid">
        <fgColor rgb="FFC5E0B3"/>
        <bgColor rgb="FFBDD6EE"/>
      </patternFill>
    </fill>
    <fill>
      <patternFill patternType="solid">
        <fgColor rgb="FFFFE598"/>
        <bgColor rgb="FFFFFFCC"/>
      </patternFill>
    </fill>
    <fill>
      <patternFill patternType="solid">
        <fgColor rgb="FF68F7FE"/>
        <bgColor rgb="FF9CC2E5"/>
      </patternFill>
    </fill>
    <fill>
      <patternFill patternType="solid">
        <fgColor rgb="FFD7FD83"/>
        <bgColor rgb="FFC0FEB4"/>
      </patternFill>
    </fill>
    <fill>
      <patternFill patternType="solid">
        <fgColor rgb="FFBDD6EE"/>
        <bgColor rgb="FFC5E0B3"/>
      </patternFill>
    </fill>
    <fill>
      <patternFill patternType="solid">
        <fgColor rgb="FFC0FEB4"/>
        <bgColor rgb="FFD7FD83"/>
      </patternFill>
    </fill>
    <fill>
      <patternFill patternType="solid">
        <fgColor rgb="FFF2F2F2"/>
        <bgColor rgb="FFFFFFCC"/>
      </patternFill>
    </fill>
    <fill>
      <patternFill patternType="solid">
        <fgColor theme="7"/>
        <bgColor rgb="FFFF99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BDD6EE"/>
        <bgColor rgb="FFBDD6EE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9" fontId="2" fillId="4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 wrapText="1"/>
    </xf>
    <xf numFmtId="0" fontId="12" fillId="0" borderId="0" xfId="0" applyFont="1"/>
    <xf numFmtId="0" fontId="10" fillId="14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0" fontId="14" fillId="16" borderId="7" xfId="0" applyFont="1" applyFill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left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164" fontId="10" fillId="15" borderId="6" xfId="0" applyNumberFormat="1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9" fontId="2" fillId="11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6" fillId="1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0" fillId="15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0FEB4"/>
      <rgbColor rgb="FFD7FD83"/>
      <rgbColor rgb="FF9CC2E5"/>
      <rgbColor rgb="FFFF99CC"/>
      <rgbColor rgb="FFCC99FF"/>
      <rgbColor rgb="FFFFE598"/>
      <rgbColor rgb="FF3366FF"/>
      <rgbColor rgb="FF68F7FE"/>
      <rgbColor rgb="FF99CC00"/>
      <rgbColor rgb="FFFFC000"/>
      <rgbColor rgb="FFFF9900"/>
      <rgbColor rgb="FFCD5937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zoomScaleNormal="100" workbookViewId="0">
      <selection activeCell="C17" sqref="C17"/>
    </sheetView>
  </sheetViews>
  <sheetFormatPr defaultColWidth="14.42578125" defaultRowHeight="15" x14ac:dyDescent="0.25"/>
  <cols>
    <col min="1" max="1" width="11" customWidth="1"/>
    <col min="2" max="2" width="92.28515625" customWidth="1"/>
    <col min="3" max="3" width="73.42578125" customWidth="1"/>
    <col min="4" max="26" width="8.7109375" customWidth="1"/>
  </cols>
  <sheetData>
    <row r="1" spans="1:3" ht="51.75" customHeight="1" x14ac:dyDescent="0.25">
      <c r="B1" s="7" t="s">
        <v>0</v>
      </c>
    </row>
    <row r="2" spans="1:3" ht="14.25" customHeight="1" x14ac:dyDescent="0.25"/>
    <row r="3" spans="1:3" ht="14.25" customHeight="1" x14ac:dyDescent="0.25">
      <c r="A3" s="49" t="s">
        <v>1</v>
      </c>
      <c r="B3" s="50"/>
      <c r="C3" s="8"/>
    </row>
    <row r="4" spans="1:3" ht="14.25" customHeight="1" x14ac:dyDescent="0.25">
      <c r="A4" s="52"/>
      <c r="B4" s="51" t="s">
        <v>2</v>
      </c>
      <c r="C4" s="50"/>
    </row>
    <row r="5" spans="1:3" ht="14.25" customHeight="1" x14ac:dyDescent="0.25">
      <c r="A5" s="50"/>
      <c r="B5" s="51" t="s">
        <v>3</v>
      </c>
      <c r="C5" s="50"/>
    </row>
    <row r="6" spans="1:3" ht="14.25" customHeight="1" x14ac:dyDescent="0.25">
      <c r="A6" s="6"/>
      <c r="B6" s="5" t="s">
        <v>4</v>
      </c>
      <c r="C6" s="6"/>
    </row>
    <row r="7" spans="1:3" ht="14.25" customHeight="1" x14ac:dyDescent="0.25">
      <c r="A7" s="6"/>
      <c r="B7" s="5" t="s">
        <v>5</v>
      </c>
      <c r="C7" s="6"/>
    </row>
    <row r="8" spans="1:3" ht="14.25" customHeight="1" x14ac:dyDescent="0.25">
      <c r="A8" s="6"/>
      <c r="B8" s="5" t="s">
        <v>6</v>
      </c>
      <c r="C8" s="6"/>
    </row>
    <row r="9" spans="1:3" ht="14.25" customHeight="1" x14ac:dyDescent="0.25">
      <c r="A9" s="49" t="s">
        <v>7</v>
      </c>
      <c r="B9" s="50"/>
      <c r="C9" s="8"/>
    </row>
    <row r="10" spans="1:3" ht="14.25" customHeight="1" x14ac:dyDescent="0.25">
      <c r="A10" s="6"/>
      <c r="B10" s="51" t="s">
        <v>8</v>
      </c>
      <c r="C10" s="50"/>
    </row>
    <row r="11" spans="1:3" ht="14.25" customHeight="1" x14ac:dyDescent="0.25">
      <c r="A11" s="49" t="s">
        <v>9</v>
      </c>
      <c r="B11" s="50"/>
      <c r="C11" s="8"/>
    </row>
    <row r="12" spans="1:3" ht="14.25" customHeight="1" x14ac:dyDescent="0.25">
      <c r="A12" s="6"/>
      <c r="B12" s="51" t="s">
        <v>10</v>
      </c>
      <c r="C12" s="50"/>
    </row>
    <row r="13" spans="1:3" ht="14.25" customHeight="1" x14ac:dyDescent="0.25">
      <c r="A13" s="6"/>
      <c r="B13" s="5" t="s">
        <v>11</v>
      </c>
      <c r="C13" s="6" t="s">
        <v>12</v>
      </c>
    </row>
    <row r="14" spans="1:3" ht="14.25" customHeight="1" x14ac:dyDescent="0.25">
      <c r="A14" s="6"/>
      <c r="B14" s="5" t="s">
        <v>13</v>
      </c>
      <c r="C14" s="6"/>
    </row>
    <row r="15" spans="1:3" ht="14.25" customHeight="1" x14ac:dyDescent="0.25">
      <c r="A15" s="52"/>
      <c r="B15" s="51" t="s">
        <v>14</v>
      </c>
      <c r="C15" s="6" t="s">
        <v>15</v>
      </c>
    </row>
    <row r="16" spans="1:3" ht="14.25" customHeight="1" x14ac:dyDescent="0.25">
      <c r="A16" s="50"/>
      <c r="B16" s="50"/>
      <c r="C16" s="6" t="s">
        <v>16</v>
      </c>
    </row>
    <row r="17" spans="1:3" ht="14.25" customHeight="1" x14ac:dyDescent="0.25">
      <c r="A17" s="50"/>
      <c r="B17" s="50"/>
      <c r="C17" s="6" t="s">
        <v>17</v>
      </c>
    </row>
    <row r="18" spans="1:3" ht="14.25" customHeight="1" x14ac:dyDescent="0.25">
      <c r="A18" s="52"/>
      <c r="B18" s="51" t="s">
        <v>18</v>
      </c>
      <c r="C18" s="6" t="s">
        <v>19</v>
      </c>
    </row>
    <row r="19" spans="1:3" ht="14.25" customHeight="1" x14ac:dyDescent="0.25">
      <c r="A19" s="50"/>
      <c r="B19" s="50"/>
      <c r="C19" s="5" t="s">
        <v>20</v>
      </c>
    </row>
    <row r="20" spans="1:3" ht="14.25" customHeight="1" x14ac:dyDescent="0.25">
      <c r="A20" s="50"/>
      <c r="B20" s="50"/>
      <c r="C20" s="5" t="s">
        <v>21</v>
      </c>
    </row>
    <row r="21" spans="1:3" ht="14.25" customHeight="1" x14ac:dyDescent="0.25">
      <c r="A21" s="6"/>
      <c r="B21" s="5" t="s">
        <v>22</v>
      </c>
      <c r="C21" s="6"/>
    </row>
    <row r="22" spans="1:3" ht="14.25" customHeight="1" x14ac:dyDescent="0.25">
      <c r="A22" s="6"/>
      <c r="B22" s="5" t="s">
        <v>23</v>
      </c>
      <c r="C22" s="6" t="s">
        <v>24</v>
      </c>
    </row>
    <row r="23" spans="1:3" ht="14.25" customHeight="1" x14ac:dyDescent="0.25">
      <c r="A23" s="6"/>
      <c r="B23" s="5" t="s">
        <v>25</v>
      </c>
      <c r="C23" s="6" t="s">
        <v>26</v>
      </c>
    </row>
    <row r="24" spans="1:3" ht="14.25" customHeight="1" x14ac:dyDescent="0.25">
      <c r="A24" s="6"/>
      <c r="B24" s="5" t="s">
        <v>27</v>
      </c>
      <c r="C24" s="6" t="s">
        <v>28</v>
      </c>
    </row>
    <row r="25" spans="1:3" ht="14.25" customHeight="1" x14ac:dyDescent="0.25">
      <c r="A25" s="6"/>
      <c r="B25" s="5" t="s">
        <v>29</v>
      </c>
      <c r="C25" s="6" t="s">
        <v>30</v>
      </c>
    </row>
    <row r="26" spans="1:3" ht="14.25" customHeight="1" x14ac:dyDescent="0.25">
      <c r="A26" s="6"/>
      <c r="B26" s="5" t="s">
        <v>31</v>
      </c>
      <c r="C26" s="6" t="s">
        <v>32</v>
      </c>
    </row>
    <row r="27" spans="1:3" ht="14.25" customHeight="1" x14ac:dyDescent="0.25">
      <c r="A27" s="6"/>
      <c r="B27" s="5" t="s">
        <v>33</v>
      </c>
      <c r="C27" s="6" t="s">
        <v>34</v>
      </c>
    </row>
    <row r="28" spans="1:3" ht="14.25" customHeight="1" x14ac:dyDescent="0.25">
      <c r="A28" s="6"/>
      <c r="B28" s="5" t="s">
        <v>35</v>
      </c>
      <c r="C28" s="6"/>
    </row>
    <row r="29" spans="1:3" ht="14.25" customHeight="1" x14ac:dyDescent="0.25">
      <c r="A29" s="6"/>
      <c r="B29" s="5" t="s">
        <v>36</v>
      </c>
      <c r="C29" s="6" t="s">
        <v>37</v>
      </c>
    </row>
    <row r="30" spans="1:3" ht="14.25" customHeight="1" x14ac:dyDescent="0.25">
      <c r="A30" s="52"/>
      <c r="B30" s="51" t="s">
        <v>38</v>
      </c>
      <c r="C30" s="6" t="s">
        <v>39</v>
      </c>
    </row>
    <row r="31" spans="1:3" ht="14.25" customHeight="1" x14ac:dyDescent="0.25">
      <c r="A31" s="50"/>
      <c r="B31" s="50"/>
      <c r="C31" s="6" t="s">
        <v>40</v>
      </c>
    </row>
    <row r="32" spans="1:3" ht="14.25" customHeight="1" x14ac:dyDescent="0.25">
      <c r="A32" s="52"/>
      <c r="B32" s="51" t="s">
        <v>41</v>
      </c>
      <c r="C32" s="6" t="s">
        <v>42</v>
      </c>
    </row>
    <row r="33" spans="1:3" ht="14.25" customHeight="1" x14ac:dyDescent="0.25">
      <c r="A33" s="50"/>
      <c r="B33" s="50"/>
      <c r="C33" s="6" t="s">
        <v>43</v>
      </c>
    </row>
    <row r="34" spans="1:3" ht="14.25" customHeight="1" x14ac:dyDescent="0.25">
      <c r="A34" s="50"/>
      <c r="B34" s="50"/>
      <c r="C34" s="6" t="s">
        <v>44</v>
      </c>
    </row>
    <row r="35" spans="1:3" ht="14.25" customHeight="1" x14ac:dyDescent="0.25">
      <c r="A35" s="50"/>
      <c r="B35" s="50"/>
      <c r="C35" s="6" t="s">
        <v>45</v>
      </c>
    </row>
    <row r="36" spans="1:3" ht="14.25" customHeight="1" x14ac:dyDescent="0.25">
      <c r="A36" s="6"/>
      <c r="B36" s="5" t="s">
        <v>46</v>
      </c>
      <c r="C36" s="6" t="s">
        <v>47</v>
      </c>
    </row>
    <row r="37" spans="1:3" ht="14.25" customHeight="1" x14ac:dyDescent="0.25"/>
    <row r="38" spans="1:3" ht="14.25" customHeight="1" x14ac:dyDescent="0.25"/>
    <row r="39" spans="1:3" ht="14.25" customHeight="1" x14ac:dyDescent="0.25"/>
    <row r="40" spans="1:3" ht="14.25" customHeight="1" x14ac:dyDescent="0.25"/>
    <row r="41" spans="1:3" ht="14.25" customHeight="1" x14ac:dyDescent="0.25"/>
    <row r="42" spans="1:3" ht="14.25" customHeight="1" x14ac:dyDescent="0.25"/>
    <row r="43" spans="1:3" ht="14.25" customHeight="1" x14ac:dyDescent="0.25"/>
    <row r="44" spans="1:3" ht="14.25" customHeight="1" x14ac:dyDescent="0.25"/>
    <row r="45" spans="1:3" ht="14.25" customHeight="1" x14ac:dyDescent="0.25"/>
    <row r="46" spans="1:3" ht="14.25" customHeight="1" x14ac:dyDescent="0.25"/>
    <row r="47" spans="1:3" ht="14.25" customHeight="1" x14ac:dyDescent="0.25"/>
    <row r="48" spans="1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6">
    <mergeCell ref="A32:A35"/>
    <mergeCell ref="B18:B20"/>
    <mergeCell ref="B32:B35"/>
    <mergeCell ref="A4:A5"/>
    <mergeCell ref="B5:C5"/>
    <mergeCell ref="A11:B11"/>
    <mergeCell ref="B10:C10"/>
    <mergeCell ref="A15:A17"/>
    <mergeCell ref="B15:B17"/>
    <mergeCell ref="B30:B31"/>
    <mergeCell ref="A9:B9"/>
    <mergeCell ref="A3:B3"/>
    <mergeCell ref="B4:C4"/>
    <mergeCell ref="A18:A20"/>
    <mergeCell ref="A30:A31"/>
    <mergeCell ref="B12:C12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6" zoomScale="110" zoomScaleNormal="110" workbookViewId="0">
      <selection activeCell="E11" sqref="E11"/>
    </sheetView>
  </sheetViews>
  <sheetFormatPr defaultColWidth="14.42578125" defaultRowHeight="15" x14ac:dyDescent="0.25"/>
  <cols>
    <col min="1" max="1" width="17.5703125" bestFit="1" customWidth="1"/>
    <col min="2" max="2" width="31.140625" bestFit="1" customWidth="1"/>
    <col min="3" max="3" width="17.42578125" bestFit="1" customWidth="1"/>
    <col min="4" max="4" width="38" customWidth="1"/>
    <col min="5" max="6" width="8.85546875" customWidth="1"/>
    <col min="7" max="26" width="8.7109375" customWidth="1"/>
  </cols>
  <sheetData>
    <row r="1" spans="1:26" x14ac:dyDescent="0.25">
      <c r="A1" s="53" t="s">
        <v>48</v>
      </c>
      <c r="B1" s="50"/>
      <c r="C1" s="50"/>
      <c r="D1" s="50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6"/>
      <c r="B2" s="6"/>
      <c r="C2" s="6"/>
      <c r="D2" s="6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53" t="s">
        <v>49</v>
      </c>
      <c r="B3" s="50"/>
      <c r="C3" s="50"/>
      <c r="D3" s="50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52"/>
      <c r="B4" s="50"/>
      <c r="C4" s="50"/>
      <c r="D4" s="50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6"/>
      <c r="B5" s="6"/>
      <c r="C5" s="6"/>
      <c r="D5" s="6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6"/>
      <c r="B6" s="6"/>
      <c r="C6" s="6"/>
      <c r="D6" s="6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53" t="s">
        <v>50</v>
      </c>
      <c r="B7" s="50"/>
      <c r="C7" s="50"/>
      <c r="D7" s="50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52"/>
      <c r="B8" s="50"/>
      <c r="C8" s="50"/>
      <c r="D8" s="5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6"/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10" t="s">
        <v>51</v>
      </c>
      <c r="B10" s="6" t="s">
        <v>52</v>
      </c>
      <c r="C10" s="3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0" customHeight="1" x14ac:dyDescent="0.25">
      <c r="A11" s="6"/>
      <c r="B11" s="6" t="s">
        <v>53</v>
      </c>
      <c r="C11" s="3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6"/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6"/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0" customHeight="1" x14ac:dyDescent="0.25">
      <c r="A14" s="10" t="s">
        <v>54</v>
      </c>
      <c r="B14" s="6" t="s">
        <v>55</v>
      </c>
      <c r="C14" s="3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6"/>
      <c r="B15" s="6" t="s">
        <v>56</v>
      </c>
      <c r="C15" s="3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6"/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6"/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51" t="s">
        <v>57</v>
      </c>
      <c r="B18" s="50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45" customHeight="1" x14ac:dyDescent="0.25">
      <c r="A20" s="25" t="s">
        <v>62</v>
      </c>
      <c r="B20" s="25" t="s">
        <v>63</v>
      </c>
      <c r="C20" s="25" t="s">
        <v>52</v>
      </c>
      <c r="D20" s="25" t="s">
        <v>64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5">
      <c r="A21" s="3"/>
      <c r="B21" s="3"/>
      <c r="C21" s="3"/>
      <c r="D21" s="3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5">
      <c r="A22" s="3"/>
      <c r="B22" s="3"/>
      <c r="C22" s="3"/>
      <c r="D22" s="3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5">
      <c r="A23" s="3"/>
      <c r="B23" s="3"/>
      <c r="C23" s="3"/>
      <c r="D23" s="3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5">
      <c r="A24" s="3"/>
      <c r="B24" s="3"/>
      <c r="C24" s="3"/>
      <c r="D24" s="3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5">
      <c r="A25" s="3"/>
      <c r="B25" s="3"/>
      <c r="C25" s="3"/>
      <c r="D25" s="3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5">
      <c r="A26" s="3"/>
      <c r="B26" s="3"/>
      <c r="C26" s="3"/>
      <c r="D26" s="3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5">
      <c r="A27" s="6"/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A18:B18"/>
    <mergeCell ref="A1:D1"/>
    <mergeCell ref="A8:D8"/>
    <mergeCell ref="A4:D4"/>
    <mergeCell ref="A3:D3"/>
    <mergeCell ref="A7:D7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workbookViewId="0">
      <selection activeCell="D18" sqref="D18"/>
    </sheetView>
  </sheetViews>
  <sheetFormatPr defaultColWidth="14.42578125" defaultRowHeight="15" x14ac:dyDescent="0.25"/>
  <cols>
    <col min="1" max="1" width="8.85546875" customWidth="1"/>
    <col min="2" max="2" width="17.85546875" customWidth="1"/>
    <col min="3" max="3" width="27.85546875" customWidth="1"/>
    <col min="4" max="4" width="45.7109375" customWidth="1"/>
    <col min="5" max="5" width="13.7109375" customWidth="1"/>
    <col min="6" max="6" width="13.5703125" customWidth="1"/>
    <col min="7" max="7" width="15" customWidth="1"/>
    <col min="8" max="8" width="11.42578125" customWidth="1"/>
    <col min="9" max="10" width="8.85546875" customWidth="1"/>
    <col min="11" max="11" width="11.85546875" customWidth="1"/>
    <col min="12" max="12" width="15.140625" customWidth="1"/>
    <col min="13" max="26" width="8.7109375" customWidth="1"/>
  </cols>
  <sheetData>
    <row r="1" spans="1:26" ht="28.5" customHeight="1" x14ac:dyDescent="0.25">
      <c r="A1" s="9"/>
      <c r="B1" s="6"/>
      <c r="C1" s="53" t="s">
        <v>65</v>
      </c>
      <c r="D1" s="50"/>
      <c r="E1" s="6"/>
      <c r="F1" s="6"/>
      <c r="G1" s="6"/>
      <c r="H1" s="6"/>
      <c r="I1" s="6"/>
      <c r="J1" s="6"/>
      <c r="K1" s="6"/>
      <c r="L1" s="6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8.5" customHeight="1" x14ac:dyDescent="0.25">
      <c r="A2" s="9"/>
      <c r="B2" s="6"/>
      <c r="C2" s="59" t="s">
        <v>66</v>
      </c>
      <c r="D2" s="50"/>
      <c r="E2" s="50"/>
      <c r="F2" s="50"/>
      <c r="G2" s="50"/>
      <c r="H2" s="50"/>
      <c r="I2" s="50"/>
      <c r="J2" s="50"/>
      <c r="K2" s="6"/>
      <c r="L2" s="6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0" customHeight="1" x14ac:dyDescent="0.25">
      <c r="A3" s="9"/>
      <c r="B3" s="54"/>
      <c r="C3" s="55"/>
      <c r="D3" s="56"/>
      <c r="E3" s="57" t="s">
        <v>67</v>
      </c>
      <c r="F3" s="55"/>
      <c r="G3" s="55"/>
      <c r="H3" s="55"/>
      <c r="I3" s="55"/>
      <c r="J3" s="55"/>
      <c r="K3" s="55"/>
      <c r="L3" s="56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6.75" customHeight="1" x14ac:dyDescent="0.25">
      <c r="A4" s="9"/>
      <c r="B4" s="24" t="s">
        <v>68</v>
      </c>
      <c r="C4" s="24" t="s">
        <v>69</v>
      </c>
      <c r="D4" s="24" t="s">
        <v>70</v>
      </c>
      <c r="E4" s="24" t="s">
        <v>71</v>
      </c>
      <c r="F4" s="24" t="s">
        <v>72</v>
      </c>
      <c r="G4" s="24" t="s">
        <v>73</v>
      </c>
      <c r="H4" s="24" t="s">
        <v>74</v>
      </c>
      <c r="I4" s="24" t="s">
        <v>75</v>
      </c>
      <c r="J4" s="24" t="s">
        <v>76</v>
      </c>
      <c r="K4" s="24" t="s">
        <v>77</v>
      </c>
      <c r="L4" s="24" t="s">
        <v>78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3.5" customHeight="1" x14ac:dyDescent="0.25">
      <c r="A5" s="9"/>
      <c r="B5" s="22"/>
      <c r="C5" s="23" t="s">
        <v>71</v>
      </c>
      <c r="D5" s="22"/>
      <c r="E5" s="44">
        <f t="shared" ref="E5:J5" ca="1" si="0">SUM(E6:E10)</f>
        <v>62</v>
      </c>
      <c r="F5" s="44">
        <f t="shared" ca="1" si="0"/>
        <v>62</v>
      </c>
      <c r="G5" s="44">
        <f t="shared" ca="1" si="0"/>
        <v>0</v>
      </c>
      <c r="H5" s="44">
        <f t="shared" ca="1" si="0"/>
        <v>62</v>
      </c>
      <c r="I5" s="44">
        <f t="shared" ca="1" si="0"/>
        <v>0</v>
      </c>
      <c r="J5" s="44">
        <f t="shared" ca="1" si="0"/>
        <v>0</v>
      </c>
      <c r="K5" s="45">
        <f t="shared" ref="K5:K10" ca="1" si="1">IF(F5=0,0,(H5+I5)/F5)</f>
        <v>1</v>
      </c>
      <c r="L5" s="45">
        <f t="shared" ref="L5:L10" ca="1" si="2">IF(F5=0,0,H5/F5)</f>
        <v>1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3.5" customHeight="1" x14ac:dyDescent="0.25">
      <c r="A6" s="9"/>
      <c r="B6" s="3" t="s">
        <v>79</v>
      </c>
      <c r="C6" s="3" t="s">
        <v>80</v>
      </c>
      <c r="D6" s="3" t="s">
        <v>81</v>
      </c>
      <c r="E6" s="46">
        <f ca="1">SUM(G6:J6)</f>
        <v>15</v>
      </c>
      <c r="F6" s="46">
        <f ca="1">E6-J6</f>
        <v>15</v>
      </c>
      <c r="G6" s="47">
        <f ca="1">IF($C6="",0,INDIRECT("'"&amp;$C6&amp;"'!$G$2"))</f>
        <v>0</v>
      </c>
      <c r="H6" s="47">
        <f ca="1">IF($C6="",0,INDIRECT("'"&amp;$C6&amp;"'!$G$3"))</f>
        <v>15</v>
      </c>
      <c r="I6" s="47">
        <f ca="1">IF($C6="",0,INDIRECT("'"&amp;$C6&amp;"'!$G$4"))</f>
        <v>0</v>
      </c>
      <c r="J6" s="47">
        <f ca="1">IF($C6="",0,INDIRECT("'"&amp;$C6&amp;"'!$G$5"))</f>
        <v>0</v>
      </c>
      <c r="K6" s="48">
        <f t="shared" ca="1" si="1"/>
        <v>1</v>
      </c>
      <c r="L6" s="48">
        <f t="shared" ca="1" si="2"/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3.5" customHeight="1" x14ac:dyDescent="0.25">
      <c r="A7" s="9"/>
      <c r="B7" s="3" t="s">
        <v>80</v>
      </c>
      <c r="C7" s="3" t="s">
        <v>83</v>
      </c>
      <c r="D7" s="3" t="s">
        <v>84</v>
      </c>
      <c r="E7" s="46">
        <f ca="1">SUM(G7:J7)</f>
        <v>7</v>
      </c>
      <c r="F7" s="46">
        <f ca="1">E7-J7</f>
        <v>7</v>
      </c>
      <c r="G7" s="47">
        <f ca="1">IF($C7="",0,INDIRECT("'"&amp;$C7&amp;"'!$G$2"))</f>
        <v>0</v>
      </c>
      <c r="H7" s="47">
        <f ca="1">IF($C7="",0,INDIRECT("'"&amp;$C7&amp;"'!$G$3"))</f>
        <v>7</v>
      </c>
      <c r="I7" s="47">
        <f ca="1">IF($C7="",0,INDIRECT("'"&amp;$C7&amp;"'!$G$4"))</f>
        <v>0</v>
      </c>
      <c r="J7" s="47">
        <f ca="1">IF($C7="",0,INDIRECT("'"&amp;$C7&amp;"'!$G$5"))</f>
        <v>0</v>
      </c>
      <c r="K7" s="48">
        <f t="shared" ca="1" si="1"/>
        <v>1</v>
      </c>
      <c r="L7" s="48">
        <f t="shared" ca="1" si="2"/>
        <v>1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 x14ac:dyDescent="0.25">
      <c r="A8" s="9"/>
      <c r="B8" s="3" t="s">
        <v>83</v>
      </c>
      <c r="C8" s="3" t="s">
        <v>86</v>
      </c>
      <c r="D8" s="3" t="s">
        <v>87</v>
      </c>
      <c r="E8" s="46">
        <f ca="1">SUM(G8:J8)</f>
        <v>11</v>
      </c>
      <c r="F8" s="46">
        <f ca="1">E8-J8</f>
        <v>11</v>
      </c>
      <c r="G8" s="47">
        <f ca="1">IF($C8="",0,INDIRECT("'"&amp;$C8&amp;"'!$G$2"))</f>
        <v>0</v>
      </c>
      <c r="H8" s="47">
        <f ca="1">IF($C8="",0,INDIRECT("'"&amp;$C8&amp;"'!$G$3"))</f>
        <v>11</v>
      </c>
      <c r="I8" s="47">
        <f ca="1">IF($C8="",0,INDIRECT("'"&amp;$C8&amp;"'!$G$4"))</f>
        <v>0</v>
      </c>
      <c r="J8" s="47">
        <f ca="1">IF($C8="",0,INDIRECT("'"&amp;$C8&amp;"'!$G$5"))</f>
        <v>0</v>
      </c>
      <c r="K8" s="48">
        <f t="shared" ca="1" si="1"/>
        <v>1</v>
      </c>
      <c r="L8" s="48">
        <f t="shared" ca="1" si="2"/>
        <v>1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3.5" customHeight="1" x14ac:dyDescent="0.25">
      <c r="A9" s="9"/>
      <c r="B9" s="3" t="s">
        <v>86</v>
      </c>
      <c r="C9" s="3" t="s">
        <v>89</v>
      </c>
      <c r="D9" s="3" t="s">
        <v>90</v>
      </c>
      <c r="E9" s="46">
        <f ca="1">SUM(G9:J9)</f>
        <v>22</v>
      </c>
      <c r="F9" s="46">
        <f ca="1">E9-J9</f>
        <v>22</v>
      </c>
      <c r="G9" s="47">
        <f ca="1">IF($C9="",0,INDIRECT("'"&amp;$C9&amp;"'!$G$2"))</f>
        <v>0</v>
      </c>
      <c r="H9" s="47">
        <f ca="1">IF($C9="",0,INDIRECT("'"&amp;$C9&amp;"'!$G$3"))</f>
        <v>22</v>
      </c>
      <c r="I9" s="47">
        <f ca="1">IF($C9="",0,INDIRECT("'"&amp;$C9&amp;"'!$G$4"))</f>
        <v>0</v>
      </c>
      <c r="J9" s="47">
        <f ca="1">IF($C9="",0,INDIRECT("'"&amp;$C9&amp;"'!$G$5"))</f>
        <v>0</v>
      </c>
      <c r="K9" s="48">
        <f t="shared" ca="1" si="1"/>
        <v>1</v>
      </c>
      <c r="L9" s="48">
        <f t="shared" ca="1" si="2"/>
        <v>1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3.5" customHeight="1" x14ac:dyDescent="0.25">
      <c r="A10" s="9"/>
      <c r="B10" s="3" t="s">
        <v>89</v>
      </c>
      <c r="C10" s="3" t="s">
        <v>92</v>
      </c>
      <c r="D10" s="3" t="s">
        <v>93</v>
      </c>
      <c r="E10" s="46">
        <f ca="1">SUM(G10:J10)</f>
        <v>7</v>
      </c>
      <c r="F10" s="46">
        <f ca="1">E10-J10</f>
        <v>7</v>
      </c>
      <c r="G10" s="47">
        <f ca="1">IF($C10="",0,INDIRECT("'"&amp;$C10&amp;"'!$G$2"))</f>
        <v>0</v>
      </c>
      <c r="H10" s="47">
        <f ca="1">IF($C10="",0,INDIRECT("'"&amp;$C10&amp;"'!$G$3"))</f>
        <v>7</v>
      </c>
      <c r="I10" s="47">
        <f ca="1">IF($C10="",0,INDIRECT("'"&amp;$C10&amp;"'!$G$4"))</f>
        <v>0</v>
      </c>
      <c r="J10" s="47">
        <f ca="1">IF($C10="",0,INDIRECT("'"&amp;$C10&amp;"'!$G$5"))</f>
        <v>0</v>
      </c>
      <c r="K10" s="48">
        <f t="shared" ca="1" si="1"/>
        <v>1</v>
      </c>
      <c r="L10" s="48">
        <f t="shared" ca="1" si="2"/>
        <v>1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3.5" customHeight="1" x14ac:dyDescent="0.25">
      <c r="A11" s="9"/>
      <c r="B11" s="3"/>
      <c r="C11" s="3"/>
      <c r="D11" s="3"/>
      <c r="E11" s="13"/>
      <c r="F11" s="13"/>
      <c r="G11" s="3"/>
      <c r="H11" s="3"/>
      <c r="I11" s="3"/>
      <c r="J11" s="3"/>
      <c r="K11" s="14"/>
      <c r="L11" s="14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3.5" customHeight="1" x14ac:dyDescent="0.25">
      <c r="A12" s="9"/>
      <c r="B12" s="3"/>
      <c r="C12" s="3"/>
      <c r="D12" s="3"/>
      <c r="E12" s="13"/>
      <c r="F12" s="13"/>
      <c r="G12" s="3"/>
      <c r="H12" s="3"/>
      <c r="I12" s="3"/>
      <c r="J12" s="3"/>
      <c r="K12" s="14"/>
      <c r="L12" s="14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3.5" customHeight="1" x14ac:dyDescent="0.25">
      <c r="A13" s="9"/>
      <c r="B13" s="3"/>
      <c r="C13" s="3"/>
      <c r="D13" s="3"/>
      <c r="E13" s="13"/>
      <c r="F13" s="13"/>
      <c r="G13" s="3"/>
      <c r="H13" s="3"/>
      <c r="I13" s="3"/>
      <c r="J13" s="3"/>
      <c r="K13" s="14"/>
      <c r="L13" s="14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3.5" customHeight="1" x14ac:dyDescent="0.25">
      <c r="A14" s="9"/>
      <c r="B14" s="3"/>
      <c r="C14" s="3"/>
      <c r="D14" s="3"/>
      <c r="E14" s="13"/>
      <c r="F14" s="13"/>
      <c r="G14" s="3"/>
      <c r="H14" s="3"/>
      <c r="I14" s="3"/>
      <c r="J14" s="3"/>
      <c r="K14" s="14"/>
      <c r="L14" s="1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3.5" customHeight="1" x14ac:dyDescent="0.25">
      <c r="A15" s="9"/>
      <c r="B15" s="3"/>
      <c r="C15" s="3"/>
      <c r="D15" s="3"/>
      <c r="E15" s="13"/>
      <c r="F15" s="13"/>
      <c r="G15" s="3"/>
      <c r="H15" s="3"/>
      <c r="I15" s="3"/>
      <c r="J15" s="3"/>
      <c r="K15" s="14"/>
      <c r="L15" s="14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3.5" customHeight="1" x14ac:dyDescent="0.25">
      <c r="A16" s="9"/>
      <c r="B16" s="3"/>
      <c r="C16" s="3"/>
      <c r="D16" s="3"/>
      <c r="E16" s="13"/>
      <c r="F16" s="13"/>
      <c r="G16" s="3"/>
      <c r="H16" s="3"/>
      <c r="I16" s="3"/>
      <c r="J16" s="3"/>
      <c r="K16" s="14"/>
      <c r="L16" s="14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3.5" customHeight="1" x14ac:dyDescent="0.25">
      <c r="A17" s="9"/>
      <c r="B17" s="3"/>
      <c r="C17" s="3"/>
      <c r="D17" s="3"/>
      <c r="E17" s="13"/>
      <c r="F17" s="13"/>
      <c r="G17" s="3"/>
      <c r="H17" s="3"/>
      <c r="I17" s="3"/>
      <c r="J17" s="3"/>
      <c r="K17" s="14"/>
      <c r="L17" s="14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3.5" customHeight="1" x14ac:dyDescent="0.25">
      <c r="A18" s="9"/>
      <c r="B18" s="3"/>
      <c r="C18" s="3"/>
      <c r="D18" s="3"/>
      <c r="E18" s="13"/>
      <c r="F18" s="13"/>
      <c r="G18" s="3"/>
      <c r="H18" s="3"/>
      <c r="I18" s="3"/>
      <c r="J18" s="3"/>
      <c r="K18" s="14"/>
      <c r="L18" s="14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5" customHeight="1" x14ac:dyDescent="0.25">
      <c r="A19" s="9"/>
      <c r="B19" s="3"/>
      <c r="C19" s="3"/>
      <c r="D19" s="3"/>
      <c r="E19" s="13"/>
      <c r="F19" s="13"/>
      <c r="G19" s="3"/>
      <c r="H19" s="3"/>
      <c r="I19" s="3"/>
      <c r="J19" s="3"/>
      <c r="K19" s="14"/>
      <c r="L19" s="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3.5" customHeight="1" x14ac:dyDescent="0.25">
      <c r="A20" s="9"/>
      <c r="B20" s="3"/>
      <c r="C20" s="3"/>
      <c r="D20" s="3"/>
      <c r="E20" s="13"/>
      <c r="F20" s="13"/>
      <c r="G20" s="3"/>
      <c r="H20" s="3"/>
      <c r="I20" s="3"/>
      <c r="J20" s="3"/>
      <c r="K20" s="14"/>
      <c r="L20" s="14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3.5" customHeight="1" x14ac:dyDescent="0.25">
      <c r="A21" s="9"/>
      <c r="B21" s="3"/>
      <c r="C21" s="3"/>
      <c r="D21" s="3"/>
      <c r="E21" s="13"/>
      <c r="F21" s="13"/>
      <c r="G21" s="3"/>
      <c r="H21" s="3"/>
      <c r="I21" s="3"/>
      <c r="J21" s="3"/>
      <c r="K21" s="14"/>
      <c r="L21" s="1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3.5" customHeight="1" x14ac:dyDescent="0.25">
      <c r="A22" s="9"/>
      <c r="B22" s="3"/>
      <c r="C22" s="3"/>
      <c r="D22" s="3"/>
      <c r="E22" s="13"/>
      <c r="F22" s="13"/>
      <c r="G22" s="3"/>
      <c r="H22" s="3"/>
      <c r="I22" s="3"/>
      <c r="J22" s="3"/>
      <c r="K22" s="14"/>
      <c r="L22" s="14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3.5" customHeight="1" x14ac:dyDescent="0.25">
      <c r="A23" s="9"/>
      <c r="B23" s="3"/>
      <c r="C23" s="3"/>
      <c r="D23" s="3"/>
      <c r="E23" s="13"/>
      <c r="F23" s="13"/>
      <c r="G23" s="3"/>
      <c r="H23" s="3"/>
      <c r="I23" s="3"/>
      <c r="J23" s="3"/>
      <c r="K23" s="14"/>
      <c r="L23" s="14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customHeight="1" x14ac:dyDescent="0.25">
      <c r="A24" s="9"/>
      <c r="B24" s="3"/>
      <c r="C24" s="3"/>
      <c r="D24" s="3"/>
      <c r="E24" s="13"/>
      <c r="F24" s="13"/>
      <c r="G24" s="3"/>
      <c r="H24" s="3"/>
      <c r="I24" s="3"/>
      <c r="J24" s="3"/>
      <c r="K24" s="14"/>
      <c r="L24" s="14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customHeight="1" x14ac:dyDescent="0.25">
      <c r="A25" s="9"/>
      <c r="B25" s="3"/>
      <c r="C25" s="3"/>
      <c r="D25" s="3"/>
      <c r="E25" s="13"/>
      <c r="F25" s="13"/>
      <c r="G25" s="3"/>
      <c r="H25" s="3"/>
      <c r="I25" s="3"/>
      <c r="J25" s="3"/>
      <c r="K25" s="14"/>
      <c r="L25" s="14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 x14ac:dyDescent="0.25">
      <c r="A26" s="9"/>
      <c r="B26" s="3"/>
      <c r="C26" s="3"/>
      <c r="D26" s="3"/>
      <c r="E26" s="13"/>
      <c r="F26" s="13"/>
      <c r="G26" s="3"/>
      <c r="H26" s="3"/>
      <c r="I26" s="3"/>
      <c r="J26" s="3"/>
      <c r="K26" s="14"/>
      <c r="L26" s="14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customHeight="1" x14ac:dyDescent="0.25">
      <c r="A27" s="9"/>
      <c r="B27" s="3"/>
      <c r="C27" s="3"/>
      <c r="D27" s="3"/>
      <c r="E27" s="13"/>
      <c r="F27" s="13"/>
      <c r="G27" s="3"/>
      <c r="H27" s="3"/>
      <c r="I27" s="3"/>
      <c r="J27" s="3"/>
      <c r="K27" s="14"/>
      <c r="L27" s="14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 x14ac:dyDescent="0.25">
      <c r="A28" s="9"/>
      <c r="B28" s="3"/>
      <c r="C28" s="3"/>
      <c r="D28" s="3"/>
      <c r="E28" s="13"/>
      <c r="F28" s="13"/>
      <c r="G28" s="3"/>
      <c r="H28" s="3"/>
      <c r="I28" s="3"/>
      <c r="J28" s="3"/>
      <c r="K28" s="14"/>
      <c r="L28" s="14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 x14ac:dyDescent="0.25">
      <c r="A29" s="9"/>
      <c r="B29" s="3"/>
      <c r="C29" s="3"/>
      <c r="D29" s="3"/>
      <c r="E29" s="13"/>
      <c r="F29" s="13"/>
      <c r="G29" s="3"/>
      <c r="H29" s="3"/>
      <c r="I29" s="3"/>
      <c r="J29" s="3"/>
      <c r="K29" s="14"/>
      <c r="L29" s="14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 x14ac:dyDescent="0.25">
      <c r="A30" s="9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 x14ac:dyDescent="0.25">
      <c r="A31" s="9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24" customHeight="1" x14ac:dyDescent="0.25">
      <c r="A32" s="9"/>
      <c r="B32" s="6"/>
      <c r="C32" s="6"/>
      <c r="D32" s="6"/>
      <c r="E32" s="61" t="s">
        <v>94</v>
      </c>
      <c r="F32" s="50"/>
      <c r="G32" s="50"/>
      <c r="H32" s="50"/>
      <c r="I32" s="50"/>
      <c r="J32" s="50"/>
      <c r="K32" s="50"/>
      <c r="L32" s="6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5.25" customHeight="1" x14ac:dyDescent="0.25">
      <c r="A33" s="9"/>
      <c r="B33" s="6"/>
      <c r="C33" s="6"/>
      <c r="D33" s="6"/>
      <c r="E33" s="4" t="s">
        <v>95</v>
      </c>
      <c r="F33" s="4" t="s">
        <v>96</v>
      </c>
      <c r="G33" s="4" t="s">
        <v>97</v>
      </c>
      <c r="H33" s="60" t="s">
        <v>98</v>
      </c>
      <c r="I33" s="55"/>
      <c r="J33" s="55"/>
      <c r="K33" s="55"/>
      <c r="L33" s="56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 x14ac:dyDescent="0.25">
      <c r="A34" s="9"/>
      <c r="B34" s="6"/>
      <c r="C34" s="6"/>
      <c r="D34" s="6"/>
      <c r="E34" s="15">
        <v>1</v>
      </c>
      <c r="F34" s="15" t="s">
        <v>99</v>
      </c>
      <c r="G34" s="15">
        <v>0</v>
      </c>
      <c r="H34" s="58"/>
      <c r="I34" s="55"/>
      <c r="J34" s="55"/>
      <c r="K34" s="55"/>
      <c r="L34" s="56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 x14ac:dyDescent="0.25">
      <c r="A35" s="9"/>
      <c r="B35" s="6"/>
      <c r="C35" s="6"/>
      <c r="D35" s="6"/>
      <c r="E35" s="15">
        <v>2</v>
      </c>
      <c r="F35" s="15" t="s">
        <v>100</v>
      </c>
      <c r="G35" s="15">
        <v>0</v>
      </c>
      <c r="H35" s="58"/>
      <c r="I35" s="55"/>
      <c r="J35" s="55"/>
      <c r="K35" s="55"/>
      <c r="L35" s="56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 x14ac:dyDescent="0.25">
      <c r="A36" s="9"/>
      <c r="B36" s="6"/>
      <c r="C36" s="6"/>
      <c r="D36" s="6"/>
      <c r="E36" s="15">
        <v>3</v>
      </c>
      <c r="F36" s="15" t="s">
        <v>101</v>
      </c>
      <c r="G36" s="15">
        <v>0</v>
      </c>
      <c r="H36" s="58"/>
      <c r="I36" s="55"/>
      <c r="J36" s="55"/>
      <c r="K36" s="55"/>
      <c r="L36" s="56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 x14ac:dyDescent="0.25">
      <c r="A37" s="9"/>
      <c r="B37" s="6"/>
      <c r="C37" s="6"/>
      <c r="D37" s="6"/>
      <c r="E37" s="15">
        <v>4</v>
      </c>
      <c r="F37" s="15" t="s">
        <v>102</v>
      </c>
      <c r="G37" s="15">
        <v>0</v>
      </c>
      <c r="H37" s="58"/>
      <c r="I37" s="55"/>
      <c r="J37" s="55"/>
      <c r="K37" s="55"/>
      <c r="L37" s="56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 x14ac:dyDescent="0.25">
      <c r="A38" s="9"/>
      <c r="B38" s="6"/>
      <c r="C38" s="6"/>
      <c r="D38" s="6"/>
      <c r="E38" s="15">
        <v>5</v>
      </c>
      <c r="F38" s="15" t="s">
        <v>103</v>
      </c>
      <c r="G38" s="15">
        <v>0</v>
      </c>
      <c r="H38" s="58"/>
      <c r="I38" s="55"/>
      <c r="J38" s="55"/>
      <c r="K38" s="55"/>
      <c r="L38" s="56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1">
    <mergeCell ref="B3:D3"/>
    <mergeCell ref="E3:L3"/>
    <mergeCell ref="H35:L35"/>
    <mergeCell ref="C1:D1"/>
    <mergeCell ref="H38:L38"/>
    <mergeCell ref="C2:J2"/>
    <mergeCell ref="H33:L33"/>
    <mergeCell ref="H36:L36"/>
    <mergeCell ref="E32:K32"/>
    <mergeCell ref="H37:L37"/>
    <mergeCell ref="H34:L34"/>
  </mergeCell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5" workbookViewId="0">
      <selection activeCell="A16" sqref="A16"/>
    </sheetView>
  </sheetViews>
  <sheetFormatPr defaultColWidth="14.42578125" defaultRowHeight="15" x14ac:dyDescent="0.25"/>
  <cols>
    <col min="1" max="1" width="15.85546875" customWidth="1"/>
    <col min="2" max="2" width="27.5703125" customWidth="1"/>
    <col min="3" max="3" width="8.85546875" customWidth="1"/>
    <col min="4" max="4" width="30.140625" customWidth="1"/>
    <col min="5" max="5" width="24.7109375" customWidth="1"/>
    <col min="6" max="6" width="21.5703125" customWidth="1"/>
    <col min="7" max="7" width="23.28515625" customWidth="1"/>
    <col min="8" max="8" width="16.28515625" customWidth="1"/>
    <col min="9" max="9" width="16.7109375" customWidth="1"/>
    <col min="10" max="10" width="12.5703125" customWidth="1"/>
    <col min="11" max="11" width="11.28515625" customWidth="1"/>
    <col min="12" max="26" width="8.7109375" customWidth="1"/>
  </cols>
  <sheetData>
    <row r="1" spans="1:26" ht="32.25" customHeight="1" x14ac:dyDescent="0.25">
      <c r="A1" s="6" t="s">
        <v>104</v>
      </c>
      <c r="B1" s="5" t="s">
        <v>105</v>
      </c>
      <c r="C1" s="6"/>
      <c r="D1" s="6"/>
      <c r="E1" s="6"/>
      <c r="F1" s="16" t="s">
        <v>106</v>
      </c>
      <c r="G1" s="17">
        <f>COUNTIFS($A$10:$A$1000,"*.*",$K$10:$K$1000,"x")</f>
        <v>5</v>
      </c>
      <c r="H1" s="6"/>
      <c r="I1" s="31" t="s">
        <v>107</v>
      </c>
      <c r="J1" s="6"/>
      <c r="K1" s="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 x14ac:dyDescent="0.25">
      <c r="A2" s="16" t="s">
        <v>14</v>
      </c>
      <c r="B2" s="62" t="s">
        <v>79</v>
      </c>
      <c r="C2" s="55"/>
      <c r="D2" s="56"/>
      <c r="E2" s="6"/>
      <c r="F2" s="16" t="s">
        <v>73</v>
      </c>
      <c r="G2" s="2">
        <f>COUNTIF($A$10:$A$1000,"*.*")-G3-G4-G5</f>
        <v>0</v>
      </c>
      <c r="H2" s="6"/>
      <c r="I2" s="6"/>
      <c r="J2" s="6"/>
      <c r="K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2.75" customHeight="1" x14ac:dyDescent="0.25">
      <c r="A3" s="16" t="s">
        <v>18</v>
      </c>
      <c r="B3" s="62" t="s">
        <v>108</v>
      </c>
      <c r="C3" s="55"/>
      <c r="D3" s="56"/>
      <c r="E3" s="6"/>
      <c r="F3" s="16" t="s">
        <v>74</v>
      </c>
      <c r="G3" s="2">
        <f>COUNTIFS($A$10:$A$1000,"*.*",$I$10:$I$1000,"Thành công*")</f>
        <v>15</v>
      </c>
      <c r="H3" s="65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 x14ac:dyDescent="0.25">
      <c r="A4" s="16" t="s">
        <v>109</v>
      </c>
      <c r="B4" s="62" t="s">
        <v>52</v>
      </c>
      <c r="C4" s="55"/>
      <c r="D4" s="56"/>
      <c r="E4" s="6"/>
      <c r="F4" s="16" t="s">
        <v>75</v>
      </c>
      <c r="G4" s="2">
        <f>COUNTIFS($A$10:$A$1000,"*.*",$I$10:$I$1000,"Lỗi*")</f>
        <v>0</v>
      </c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2.75" customHeight="1" x14ac:dyDescent="0.25">
      <c r="A5" s="16" t="s">
        <v>110</v>
      </c>
      <c r="B5" s="62" t="s">
        <v>111</v>
      </c>
      <c r="C5" s="55"/>
      <c r="D5" s="56"/>
      <c r="E5" s="6"/>
      <c r="F5" s="16" t="s">
        <v>76</v>
      </c>
      <c r="G5" s="2">
        <f>COUNTIFS($A$10:$A$1000,"*.*",$I$10:$I$1000,"Hủy bỏ*")</f>
        <v>0</v>
      </c>
      <c r="H5" s="6"/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64" t="s">
        <v>22</v>
      </c>
      <c r="B7" s="55"/>
      <c r="C7" s="55"/>
      <c r="D7" s="55"/>
      <c r="E7" s="55"/>
      <c r="F7" s="56"/>
      <c r="G7" s="63" t="s">
        <v>112</v>
      </c>
      <c r="H7" s="55"/>
      <c r="I7" s="55"/>
      <c r="J7" s="55"/>
      <c r="K7" s="56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 x14ac:dyDescent="0.25">
      <c r="A8" s="1" t="s">
        <v>23</v>
      </c>
      <c r="B8" s="1" t="s">
        <v>25</v>
      </c>
      <c r="C8" s="1" t="s">
        <v>27</v>
      </c>
      <c r="D8" s="1" t="s">
        <v>29</v>
      </c>
      <c r="E8" s="1" t="s">
        <v>31</v>
      </c>
      <c r="F8" s="1" t="s">
        <v>33</v>
      </c>
      <c r="G8" s="18" t="s">
        <v>113</v>
      </c>
      <c r="H8" s="18" t="s">
        <v>38</v>
      </c>
      <c r="I8" s="18" t="s">
        <v>41</v>
      </c>
      <c r="J8" s="18" t="s">
        <v>46</v>
      </c>
      <c r="K8" s="18" t="s">
        <v>106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4" customHeight="1" x14ac:dyDescent="0.25">
      <c r="A9" s="19" t="s">
        <v>24</v>
      </c>
      <c r="B9" s="19" t="s">
        <v>114</v>
      </c>
      <c r="C9" s="19" t="s">
        <v>28</v>
      </c>
      <c r="D9" s="19" t="s">
        <v>115</v>
      </c>
      <c r="E9" s="19" t="s">
        <v>116</v>
      </c>
      <c r="F9" s="19" t="s">
        <v>117</v>
      </c>
      <c r="G9" s="19" t="s">
        <v>118</v>
      </c>
      <c r="H9" s="19" t="s">
        <v>119</v>
      </c>
      <c r="I9" s="19" t="s">
        <v>120</v>
      </c>
      <c r="J9" s="19" t="s">
        <v>121</v>
      </c>
      <c r="K9" s="19" t="s">
        <v>122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4" customHeight="1" x14ac:dyDescent="0.25">
      <c r="A10" s="66" t="s">
        <v>123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72" customHeight="1" x14ac:dyDescent="0.25">
      <c r="A11" s="33" t="s">
        <v>124</v>
      </c>
      <c r="B11" s="34" t="s">
        <v>125</v>
      </c>
      <c r="C11" s="35" t="s">
        <v>126</v>
      </c>
      <c r="D11" s="34" t="s">
        <v>127</v>
      </c>
      <c r="E11" s="34" t="s">
        <v>128</v>
      </c>
      <c r="F11" s="34" t="s">
        <v>129</v>
      </c>
      <c r="G11" s="34" t="s">
        <v>130</v>
      </c>
      <c r="H11" s="34"/>
      <c r="I11" s="36" t="s">
        <v>74</v>
      </c>
      <c r="J11" s="37" t="s">
        <v>62</v>
      </c>
      <c r="K11" s="38" t="s">
        <v>131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72" customHeight="1" x14ac:dyDescent="0.25">
      <c r="A12" s="33" t="s">
        <v>132</v>
      </c>
      <c r="B12" s="34" t="s">
        <v>133</v>
      </c>
      <c r="C12" s="35" t="s">
        <v>126</v>
      </c>
      <c r="D12" s="34" t="s">
        <v>127</v>
      </c>
      <c r="E12" s="34" t="s">
        <v>134</v>
      </c>
      <c r="F12" s="34" t="s">
        <v>135</v>
      </c>
      <c r="G12" s="34" t="s">
        <v>136</v>
      </c>
      <c r="H12" s="34"/>
      <c r="I12" s="36" t="s">
        <v>74</v>
      </c>
      <c r="J12" s="37" t="s">
        <v>62</v>
      </c>
      <c r="K12" s="38" t="s">
        <v>131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72" customHeight="1" x14ac:dyDescent="0.25">
      <c r="A13" s="39" t="s">
        <v>137</v>
      </c>
      <c r="B13" s="40" t="s">
        <v>138</v>
      </c>
      <c r="C13" s="41" t="s">
        <v>126</v>
      </c>
      <c r="D13" s="40" t="s">
        <v>127</v>
      </c>
      <c r="E13" s="40" t="s">
        <v>139</v>
      </c>
      <c r="F13" s="40" t="s">
        <v>140</v>
      </c>
      <c r="G13" s="40" t="s">
        <v>141</v>
      </c>
      <c r="H13" s="40"/>
      <c r="I13" s="36" t="s">
        <v>74</v>
      </c>
      <c r="J13" s="41" t="s">
        <v>62</v>
      </c>
      <c r="K13" s="42" t="s">
        <v>131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72" customHeight="1" x14ac:dyDescent="0.25">
      <c r="A14" s="33" t="s">
        <v>142</v>
      </c>
      <c r="B14" s="34" t="s">
        <v>143</v>
      </c>
      <c r="C14" s="35" t="s">
        <v>126</v>
      </c>
      <c r="D14" s="34" t="s">
        <v>127</v>
      </c>
      <c r="E14" s="34" t="s">
        <v>144</v>
      </c>
      <c r="F14" s="34" t="s">
        <v>145</v>
      </c>
      <c r="G14" s="34" t="s">
        <v>146</v>
      </c>
      <c r="H14" s="34"/>
      <c r="I14" s="36" t="s">
        <v>74</v>
      </c>
      <c r="J14" s="37" t="s">
        <v>62</v>
      </c>
      <c r="K14" s="38" t="s">
        <v>131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72" customHeight="1" x14ac:dyDescent="0.25">
      <c r="A15" s="33" t="s">
        <v>147</v>
      </c>
      <c r="B15" s="34" t="s">
        <v>148</v>
      </c>
      <c r="C15" s="35" t="s">
        <v>126</v>
      </c>
      <c r="D15" s="34" t="s">
        <v>127</v>
      </c>
      <c r="E15" s="34" t="s">
        <v>149</v>
      </c>
      <c r="F15" s="34" t="s">
        <v>150</v>
      </c>
      <c r="G15" s="34" t="s">
        <v>151</v>
      </c>
      <c r="H15" s="34"/>
      <c r="I15" s="36" t="s">
        <v>74</v>
      </c>
      <c r="J15" s="37" t="s">
        <v>62</v>
      </c>
      <c r="K15" s="38" t="s">
        <v>131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4" customHeight="1" x14ac:dyDescent="0.25">
      <c r="A16" s="66" t="s">
        <v>152</v>
      </c>
      <c r="B16" s="32"/>
      <c r="C16" s="32"/>
      <c r="D16" s="32"/>
      <c r="E16" s="32"/>
      <c r="F16" s="32"/>
      <c r="G16" s="32"/>
      <c r="H16" s="32"/>
      <c r="I16" s="32"/>
      <c r="J16" s="43"/>
      <c r="K16" s="32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08" customHeight="1" x14ac:dyDescent="0.25">
      <c r="A17" s="33" t="s">
        <v>153</v>
      </c>
      <c r="B17" s="34" t="s">
        <v>154</v>
      </c>
      <c r="C17" s="35" t="s">
        <v>126</v>
      </c>
      <c r="D17" s="34" t="s">
        <v>155</v>
      </c>
      <c r="E17" s="34" t="s">
        <v>156</v>
      </c>
      <c r="F17" s="34" t="s">
        <v>157</v>
      </c>
      <c r="G17" s="34" t="s">
        <v>158</v>
      </c>
      <c r="H17" s="34"/>
      <c r="I17" s="36" t="s">
        <v>74</v>
      </c>
      <c r="J17" s="35" t="s">
        <v>62</v>
      </c>
      <c r="K17" s="35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6" customHeight="1" x14ac:dyDescent="0.25">
      <c r="A18" s="33" t="s">
        <v>159</v>
      </c>
      <c r="B18" s="34" t="s">
        <v>160</v>
      </c>
      <c r="C18" s="35" t="s">
        <v>126</v>
      </c>
      <c r="D18" s="34" t="s">
        <v>161</v>
      </c>
      <c r="E18" s="34" t="s">
        <v>162</v>
      </c>
      <c r="F18" s="34" t="s">
        <v>163</v>
      </c>
      <c r="G18" s="34" t="s">
        <v>164</v>
      </c>
      <c r="H18" s="34"/>
      <c r="I18" s="36" t="s">
        <v>74</v>
      </c>
      <c r="J18" s="35" t="s">
        <v>62</v>
      </c>
      <c r="K18" s="35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6" customHeight="1" x14ac:dyDescent="0.25">
      <c r="A19" s="33" t="s">
        <v>165</v>
      </c>
      <c r="B19" s="34" t="s">
        <v>166</v>
      </c>
      <c r="C19" s="35" t="s">
        <v>126</v>
      </c>
      <c r="D19" s="34" t="s">
        <v>167</v>
      </c>
      <c r="E19" s="34" t="s">
        <v>168</v>
      </c>
      <c r="F19" s="34" t="s">
        <v>169</v>
      </c>
      <c r="G19" s="34" t="s">
        <v>170</v>
      </c>
      <c r="H19" s="34"/>
      <c r="I19" s="36" t="s">
        <v>74</v>
      </c>
      <c r="J19" s="35" t="s">
        <v>62</v>
      </c>
      <c r="K19" s="35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08" customHeight="1" x14ac:dyDescent="0.25">
      <c r="A20" s="33" t="s">
        <v>171</v>
      </c>
      <c r="B20" s="34" t="s">
        <v>172</v>
      </c>
      <c r="C20" s="35" t="s">
        <v>126</v>
      </c>
      <c r="D20" s="34" t="s">
        <v>173</v>
      </c>
      <c r="E20" s="34" t="s">
        <v>174</v>
      </c>
      <c r="F20" s="34" t="s">
        <v>175</v>
      </c>
      <c r="G20" s="34" t="s">
        <v>176</v>
      </c>
      <c r="H20" s="34"/>
      <c r="I20" s="36" t="s">
        <v>74</v>
      </c>
      <c r="J20" s="35" t="s">
        <v>62</v>
      </c>
      <c r="K20" s="35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4" customHeight="1" x14ac:dyDescent="0.25">
      <c r="A21" s="33" t="s">
        <v>177</v>
      </c>
      <c r="B21" s="34" t="s">
        <v>178</v>
      </c>
      <c r="C21" s="35" t="s">
        <v>126</v>
      </c>
      <c r="D21" s="34" t="s">
        <v>167</v>
      </c>
      <c r="E21" s="34" t="s">
        <v>179</v>
      </c>
      <c r="F21" s="34" t="s">
        <v>180</v>
      </c>
      <c r="G21" s="34" t="s">
        <v>181</v>
      </c>
      <c r="H21" s="34"/>
      <c r="I21" s="36" t="s">
        <v>74</v>
      </c>
      <c r="J21" s="35" t="s">
        <v>62</v>
      </c>
      <c r="K21" s="35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26" customHeight="1" x14ac:dyDescent="0.25">
      <c r="A22" s="33" t="s">
        <v>182</v>
      </c>
      <c r="B22" s="34" t="s">
        <v>183</v>
      </c>
      <c r="C22" s="35" t="s">
        <v>126</v>
      </c>
      <c r="D22" s="34" t="s">
        <v>173</v>
      </c>
      <c r="E22" s="34" t="s">
        <v>184</v>
      </c>
      <c r="F22" s="34" t="s">
        <v>185</v>
      </c>
      <c r="G22" s="34" t="s">
        <v>186</v>
      </c>
      <c r="H22" s="34"/>
      <c r="I22" s="36" t="s">
        <v>74</v>
      </c>
      <c r="J22" s="35" t="s">
        <v>62</v>
      </c>
      <c r="K22" s="35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24" customHeight="1" x14ac:dyDescent="0.25">
      <c r="A23" s="32" t="s">
        <v>187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54" customHeight="1" x14ac:dyDescent="0.25">
      <c r="A24" s="33" t="s">
        <v>188</v>
      </c>
      <c r="B24" s="34" t="s">
        <v>189</v>
      </c>
      <c r="C24" s="35" t="s">
        <v>126</v>
      </c>
      <c r="D24" s="34" t="s">
        <v>190</v>
      </c>
      <c r="E24" s="34" t="s">
        <v>191</v>
      </c>
      <c r="F24" s="34" t="s">
        <v>192</v>
      </c>
      <c r="G24" s="34" t="s">
        <v>193</v>
      </c>
      <c r="H24" s="34"/>
      <c r="I24" s="36" t="s">
        <v>74</v>
      </c>
      <c r="J24" s="35" t="s">
        <v>62</v>
      </c>
      <c r="K24" s="35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54" customHeight="1" x14ac:dyDescent="0.25">
      <c r="A25" s="33" t="s">
        <v>194</v>
      </c>
      <c r="B25" s="34" t="s">
        <v>195</v>
      </c>
      <c r="C25" s="35" t="s">
        <v>126</v>
      </c>
      <c r="D25" s="34" t="s">
        <v>190</v>
      </c>
      <c r="E25" s="34" t="s">
        <v>196</v>
      </c>
      <c r="F25" s="34" t="s">
        <v>197</v>
      </c>
      <c r="G25" s="34" t="s">
        <v>198</v>
      </c>
      <c r="H25" s="34"/>
      <c r="I25" s="36" t="s">
        <v>74</v>
      </c>
      <c r="J25" s="35" t="s">
        <v>62</v>
      </c>
      <c r="K25" s="35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90" customHeight="1" x14ac:dyDescent="0.25">
      <c r="A26" s="33" t="s">
        <v>199</v>
      </c>
      <c r="B26" s="34" t="s">
        <v>200</v>
      </c>
      <c r="C26" s="35" t="s">
        <v>126</v>
      </c>
      <c r="D26" s="34" t="s">
        <v>190</v>
      </c>
      <c r="E26" s="34" t="s">
        <v>201</v>
      </c>
      <c r="F26" s="34" t="s">
        <v>202</v>
      </c>
      <c r="G26" s="34" t="s">
        <v>203</v>
      </c>
      <c r="H26" s="34"/>
      <c r="I26" s="36" t="s">
        <v>74</v>
      </c>
      <c r="J26" s="35" t="s">
        <v>62</v>
      </c>
      <c r="K26" s="35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72" customHeight="1" x14ac:dyDescent="0.25">
      <c r="A27" s="33" t="s">
        <v>204</v>
      </c>
      <c r="B27" s="34" t="s">
        <v>205</v>
      </c>
      <c r="C27" s="35" t="s">
        <v>126</v>
      </c>
      <c r="D27" s="34" t="s">
        <v>190</v>
      </c>
      <c r="E27" s="34" t="s">
        <v>206</v>
      </c>
      <c r="F27" s="34" t="s">
        <v>207</v>
      </c>
      <c r="G27" s="34" t="s">
        <v>208</v>
      </c>
      <c r="H27" s="34"/>
      <c r="I27" s="36" t="s">
        <v>74</v>
      </c>
      <c r="J27" s="35" t="s">
        <v>62</v>
      </c>
      <c r="K27" s="35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B3:D3"/>
    <mergeCell ref="B5:D5"/>
    <mergeCell ref="G7:K7"/>
    <mergeCell ref="B4:D4"/>
    <mergeCell ref="B2:D2"/>
    <mergeCell ref="A7:F7"/>
  </mergeCells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B3" sqref="B3:D3"/>
    </sheetView>
  </sheetViews>
  <sheetFormatPr defaultColWidth="14.42578125" defaultRowHeight="15" x14ac:dyDescent="0.25"/>
  <cols>
    <col min="1" max="1" width="13.28515625" customWidth="1"/>
    <col min="2" max="2" width="27.5703125" customWidth="1"/>
    <col min="3" max="3" width="8.85546875" customWidth="1"/>
    <col min="4" max="4" width="30.140625" customWidth="1"/>
    <col min="5" max="5" width="24.7109375" customWidth="1"/>
    <col min="6" max="6" width="21.5703125" customWidth="1"/>
    <col min="7" max="7" width="23.28515625" customWidth="1"/>
    <col min="8" max="8" width="16.28515625" customWidth="1"/>
    <col min="9" max="9" width="16.7109375" customWidth="1"/>
    <col min="10" max="10" width="12.5703125" customWidth="1"/>
    <col min="11" max="11" width="11.28515625" customWidth="1"/>
    <col min="12" max="26" width="8.7109375" customWidth="1"/>
  </cols>
  <sheetData>
    <row r="1" spans="1:26" ht="32.25" customHeight="1" x14ac:dyDescent="0.25">
      <c r="A1" s="6" t="s">
        <v>104</v>
      </c>
      <c r="B1" s="5" t="s">
        <v>105</v>
      </c>
      <c r="C1" s="6"/>
      <c r="D1" s="6"/>
      <c r="E1" s="6"/>
      <c r="F1" s="16" t="s">
        <v>106</v>
      </c>
      <c r="G1" s="17">
        <f>COUNTIFS($A$10:$A$1000,"*.*",$K$10:$K$1000,"x")</f>
        <v>0</v>
      </c>
      <c r="H1" s="6"/>
      <c r="I1" s="6"/>
      <c r="J1" s="6"/>
      <c r="K1" s="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 x14ac:dyDescent="0.25">
      <c r="A2" s="16" t="s">
        <v>14</v>
      </c>
      <c r="B2" s="62" t="s">
        <v>82</v>
      </c>
      <c r="C2" s="55"/>
      <c r="D2" s="56"/>
      <c r="E2" s="6"/>
      <c r="F2" s="16" t="s">
        <v>73</v>
      </c>
      <c r="G2" s="2">
        <f>COUNTIF($A$10:$A$1000,"*.*")-G3-G4-G5</f>
        <v>0</v>
      </c>
      <c r="H2" s="6"/>
      <c r="I2" s="6"/>
      <c r="J2" s="6"/>
      <c r="K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2.75" customHeight="1" x14ac:dyDescent="0.25">
      <c r="A3" s="16" t="s">
        <v>18</v>
      </c>
      <c r="B3" s="62" t="s">
        <v>209</v>
      </c>
      <c r="C3" s="55"/>
      <c r="D3" s="56"/>
      <c r="E3" s="6"/>
      <c r="F3" s="16" t="s">
        <v>74</v>
      </c>
      <c r="G3" s="2">
        <f>COUNTIFS($A$10:$A$1000,"*.*",$I$10:$I$1000,"Thành công*")</f>
        <v>7</v>
      </c>
      <c r="H3" s="6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 x14ac:dyDescent="0.25">
      <c r="A4" s="16" t="s">
        <v>109</v>
      </c>
      <c r="B4" s="62" t="s">
        <v>52</v>
      </c>
      <c r="C4" s="55"/>
      <c r="D4" s="56"/>
      <c r="E4" s="6"/>
      <c r="F4" s="16" t="s">
        <v>75</v>
      </c>
      <c r="G4" s="2">
        <f>COUNTIFS($A$10:$A$1000,"*.*",$I$10:$I$1000,"Lỗi*")</f>
        <v>0</v>
      </c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2.75" customHeight="1" x14ac:dyDescent="0.25">
      <c r="A5" s="16" t="s">
        <v>110</v>
      </c>
      <c r="B5" s="62" t="s">
        <v>111</v>
      </c>
      <c r="C5" s="55"/>
      <c r="D5" s="56"/>
      <c r="E5" s="6"/>
      <c r="F5" s="16" t="s">
        <v>76</v>
      </c>
      <c r="G5" s="2">
        <f>COUNTIFS($A$10:$A$1000,"*.*",$I$10:$I$1000,"Hủy bỏ*")</f>
        <v>0</v>
      </c>
      <c r="H5" s="6"/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64" t="s">
        <v>22</v>
      </c>
      <c r="B7" s="55"/>
      <c r="C7" s="55"/>
      <c r="D7" s="55"/>
      <c r="E7" s="55"/>
      <c r="F7" s="56"/>
      <c r="G7" s="63" t="s">
        <v>112</v>
      </c>
      <c r="H7" s="55"/>
      <c r="I7" s="55"/>
      <c r="J7" s="55"/>
      <c r="K7" s="56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 x14ac:dyDescent="0.25">
      <c r="A8" s="1" t="s">
        <v>23</v>
      </c>
      <c r="B8" s="1" t="s">
        <v>25</v>
      </c>
      <c r="C8" s="1" t="s">
        <v>27</v>
      </c>
      <c r="D8" s="1" t="s">
        <v>29</v>
      </c>
      <c r="E8" s="1" t="s">
        <v>31</v>
      </c>
      <c r="F8" s="1" t="s">
        <v>33</v>
      </c>
      <c r="G8" s="18" t="s">
        <v>113</v>
      </c>
      <c r="H8" s="18" t="s">
        <v>38</v>
      </c>
      <c r="I8" s="18" t="s">
        <v>41</v>
      </c>
      <c r="J8" s="18" t="s">
        <v>46</v>
      </c>
      <c r="K8" s="18" t="s">
        <v>106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4" customHeight="1" x14ac:dyDescent="0.25">
      <c r="A9" s="19" t="s">
        <v>24</v>
      </c>
      <c r="B9" s="19" t="s">
        <v>114</v>
      </c>
      <c r="C9" s="19" t="s">
        <v>28</v>
      </c>
      <c r="D9" s="19" t="s">
        <v>115</v>
      </c>
      <c r="E9" s="19" t="s">
        <v>116</v>
      </c>
      <c r="F9" s="19" t="s">
        <v>117</v>
      </c>
      <c r="G9" s="19" t="s">
        <v>118</v>
      </c>
      <c r="H9" s="19" t="s">
        <v>119</v>
      </c>
      <c r="I9" s="19" t="s">
        <v>120</v>
      </c>
      <c r="J9" s="19" t="s">
        <v>121</v>
      </c>
      <c r="K9" s="19" t="s">
        <v>122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4" customHeight="1" x14ac:dyDescent="0.25">
      <c r="A10" s="66" t="s">
        <v>210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08" customHeight="1" x14ac:dyDescent="0.25">
      <c r="A11" s="33" t="s">
        <v>211</v>
      </c>
      <c r="B11" s="34" t="s">
        <v>212</v>
      </c>
      <c r="C11" s="35" t="s">
        <v>126</v>
      </c>
      <c r="D11" s="34" t="s">
        <v>213</v>
      </c>
      <c r="E11" s="34" t="s">
        <v>214</v>
      </c>
      <c r="F11" s="34" t="s">
        <v>215</v>
      </c>
      <c r="G11" s="34" t="s">
        <v>216</v>
      </c>
      <c r="H11" s="34"/>
      <c r="I11" s="36" t="s">
        <v>74</v>
      </c>
      <c r="J11" s="37" t="s">
        <v>62</v>
      </c>
      <c r="K11" s="35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90" customHeight="1" x14ac:dyDescent="0.25">
      <c r="A12" s="33" t="s">
        <v>217</v>
      </c>
      <c r="B12" s="34" t="s">
        <v>218</v>
      </c>
      <c r="C12" s="35" t="s">
        <v>126</v>
      </c>
      <c r="D12" s="34" t="s">
        <v>213</v>
      </c>
      <c r="E12" s="34" t="s">
        <v>219</v>
      </c>
      <c r="F12" s="34" t="s">
        <v>220</v>
      </c>
      <c r="G12" s="34" t="s">
        <v>221</v>
      </c>
      <c r="H12" s="34"/>
      <c r="I12" s="36" t="s">
        <v>74</v>
      </c>
      <c r="J12" s="37" t="s">
        <v>62</v>
      </c>
      <c r="K12" s="35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08" customHeight="1" x14ac:dyDescent="0.25">
      <c r="A13" s="39" t="s">
        <v>222</v>
      </c>
      <c r="B13" s="40" t="s">
        <v>223</v>
      </c>
      <c r="C13" s="41" t="s">
        <v>126</v>
      </c>
      <c r="D13" s="40" t="s">
        <v>213</v>
      </c>
      <c r="E13" s="40" t="s">
        <v>224</v>
      </c>
      <c r="F13" s="40" t="s">
        <v>225</v>
      </c>
      <c r="G13" s="40" t="s">
        <v>226</v>
      </c>
      <c r="H13" s="40"/>
      <c r="I13" s="36" t="s">
        <v>74</v>
      </c>
      <c r="J13" s="41" t="s">
        <v>62</v>
      </c>
      <c r="K13" s="41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26" customHeight="1" x14ac:dyDescent="0.25">
      <c r="A14" s="33" t="s">
        <v>227</v>
      </c>
      <c r="B14" s="34" t="s">
        <v>228</v>
      </c>
      <c r="C14" s="35" t="s">
        <v>126</v>
      </c>
      <c r="D14" s="34" t="s">
        <v>213</v>
      </c>
      <c r="E14" s="34" t="s">
        <v>229</v>
      </c>
      <c r="F14" s="34" t="s">
        <v>230</v>
      </c>
      <c r="G14" s="34" t="s">
        <v>231</v>
      </c>
      <c r="H14" s="34"/>
      <c r="I14" s="36" t="s">
        <v>74</v>
      </c>
      <c r="J14" s="37" t="s">
        <v>62</v>
      </c>
      <c r="K14" s="35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26" customHeight="1" x14ac:dyDescent="0.25">
      <c r="A15" s="33" t="s">
        <v>232</v>
      </c>
      <c r="B15" s="34" t="s">
        <v>233</v>
      </c>
      <c r="C15" s="35" t="s">
        <v>126</v>
      </c>
      <c r="D15" s="34" t="s">
        <v>234</v>
      </c>
      <c r="E15" s="34" t="s">
        <v>235</v>
      </c>
      <c r="F15" s="34" t="s">
        <v>236</v>
      </c>
      <c r="G15" s="34" t="s">
        <v>237</v>
      </c>
      <c r="H15" s="34"/>
      <c r="I15" s="36" t="s">
        <v>74</v>
      </c>
      <c r="J15" s="37" t="s">
        <v>62</v>
      </c>
      <c r="K15" s="35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4" customHeight="1" x14ac:dyDescent="0.25">
      <c r="A16" s="32" t="s">
        <v>238</v>
      </c>
      <c r="B16" s="32"/>
      <c r="C16" s="32"/>
      <c r="D16" s="32"/>
      <c r="E16" s="32"/>
      <c r="F16" s="32"/>
      <c r="G16" s="32"/>
      <c r="H16" s="32"/>
      <c r="I16" s="32"/>
      <c r="J16" s="43"/>
      <c r="K16" s="32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08" customHeight="1" x14ac:dyDescent="0.25">
      <c r="A17" s="33" t="s">
        <v>239</v>
      </c>
      <c r="B17" s="34" t="s">
        <v>240</v>
      </c>
      <c r="C17" s="35" t="s">
        <v>126</v>
      </c>
      <c r="D17" s="34" t="s">
        <v>241</v>
      </c>
      <c r="E17" s="34" t="s">
        <v>242</v>
      </c>
      <c r="F17" s="34" t="s">
        <v>243</v>
      </c>
      <c r="G17" s="34" t="s">
        <v>244</v>
      </c>
      <c r="H17" s="34"/>
      <c r="I17" s="36" t="s">
        <v>74</v>
      </c>
      <c r="J17" s="35" t="s">
        <v>62</v>
      </c>
      <c r="K17" s="35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54" customHeight="1" x14ac:dyDescent="0.25">
      <c r="A18" s="33" t="s">
        <v>245</v>
      </c>
      <c r="B18" s="34" t="s">
        <v>246</v>
      </c>
      <c r="C18" s="35" t="s">
        <v>126</v>
      </c>
      <c r="D18" s="34" t="s">
        <v>213</v>
      </c>
      <c r="E18" s="34" t="s">
        <v>247</v>
      </c>
      <c r="F18" s="34" t="s">
        <v>248</v>
      </c>
      <c r="G18" s="34" t="s">
        <v>249</v>
      </c>
      <c r="H18" s="34"/>
      <c r="I18" s="36" t="s">
        <v>74</v>
      </c>
      <c r="J18" s="35" t="s">
        <v>62</v>
      </c>
      <c r="K18" s="35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5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3.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3.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3.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3.5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B3:D3"/>
    <mergeCell ref="B5:D5"/>
    <mergeCell ref="G7:K7"/>
    <mergeCell ref="B4:D4"/>
    <mergeCell ref="B2:D2"/>
    <mergeCell ref="A7:F7"/>
  </mergeCells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x14ac:dyDescent="0.25"/>
  <cols>
    <col min="1" max="1" width="15.85546875" customWidth="1"/>
    <col min="2" max="2" width="27.5703125" customWidth="1"/>
    <col min="3" max="3" width="8.85546875" customWidth="1"/>
    <col min="4" max="4" width="30.140625" customWidth="1"/>
    <col min="5" max="5" width="24.7109375" customWidth="1"/>
    <col min="6" max="6" width="21.5703125" customWidth="1"/>
    <col min="7" max="7" width="23.28515625" customWidth="1"/>
    <col min="8" max="8" width="16.28515625" customWidth="1"/>
    <col min="9" max="9" width="16.7109375" customWidth="1"/>
    <col min="10" max="10" width="12.5703125" customWidth="1"/>
    <col min="11" max="11" width="11.28515625" customWidth="1"/>
    <col min="12" max="26" width="8.7109375" customWidth="1"/>
  </cols>
  <sheetData>
    <row r="1" spans="1:26" ht="32.25" customHeight="1" x14ac:dyDescent="0.25">
      <c r="A1" s="6" t="s">
        <v>104</v>
      </c>
      <c r="B1" s="5" t="s">
        <v>105</v>
      </c>
      <c r="C1" s="6"/>
      <c r="D1" s="6"/>
      <c r="E1" s="6"/>
      <c r="F1" s="16" t="s">
        <v>106</v>
      </c>
      <c r="G1" s="17">
        <f>COUNTIFS($A$10:$A$1000,"*.*",$K$10:$K$1000,"x")</f>
        <v>4</v>
      </c>
      <c r="H1" s="6"/>
      <c r="I1" s="6"/>
      <c r="J1" s="6"/>
      <c r="K1" s="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 x14ac:dyDescent="0.25">
      <c r="A2" s="16" t="s">
        <v>14</v>
      </c>
      <c r="B2" s="62" t="s">
        <v>85</v>
      </c>
      <c r="C2" s="55"/>
      <c r="D2" s="56"/>
      <c r="E2" s="6"/>
      <c r="F2" s="16" t="s">
        <v>73</v>
      </c>
      <c r="G2" s="2">
        <f>COUNTIF($A$10:$A$1000,"*.*")-G3-G4-G5</f>
        <v>0</v>
      </c>
      <c r="H2" s="6"/>
      <c r="I2" s="6"/>
      <c r="J2" s="6"/>
      <c r="K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2.75" customHeight="1" x14ac:dyDescent="0.25">
      <c r="A3" s="16" t="s">
        <v>18</v>
      </c>
      <c r="B3" s="62" t="s">
        <v>250</v>
      </c>
      <c r="C3" s="55"/>
      <c r="D3" s="56"/>
      <c r="E3" s="6"/>
      <c r="F3" s="16" t="s">
        <v>74</v>
      </c>
      <c r="G3" s="2">
        <f>COUNTIFS($A$10:$A$1000,"*.*",$I$10:$I$1000,"Thành công*")</f>
        <v>11</v>
      </c>
      <c r="H3" s="6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 x14ac:dyDescent="0.25">
      <c r="A4" s="16" t="s">
        <v>109</v>
      </c>
      <c r="B4" s="62" t="s">
        <v>52</v>
      </c>
      <c r="C4" s="55"/>
      <c r="D4" s="56"/>
      <c r="E4" s="6"/>
      <c r="F4" s="16" t="s">
        <v>75</v>
      </c>
      <c r="G4" s="2">
        <f>COUNTIFS($A$10:$A$1000,"*.*",$I$10:$I$1000,"Lỗi*")</f>
        <v>0</v>
      </c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2.75" customHeight="1" x14ac:dyDescent="0.25">
      <c r="A5" s="16" t="s">
        <v>110</v>
      </c>
      <c r="B5" s="62" t="s">
        <v>111</v>
      </c>
      <c r="C5" s="55"/>
      <c r="D5" s="56"/>
      <c r="E5" s="6"/>
      <c r="F5" s="16" t="s">
        <v>76</v>
      </c>
      <c r="G5" s="2">
        <f>COUNTIFS($A$10:$A$1000,"*.*",$I$10:$I$1000,"Hủy bỏ*")</f>
        <v>0</v>
      </c>
      <c r="H5" s="6"/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64" t="s">
        <v>22</v>
      </c>
      <c r="B7" s="55"/>
      <c r="C7" s="55"/>
      <c r="D7" s="55"/>
      <c r="E7" s="55"/>
      <c r="F7" s="56"/>
      <c r="G7" s="63" t="s">
        <v>112</v>
      </c>
      <c r="H7" s="55"/>
      <c r="I7" s="55"/>
      <c r="J7" s="55"/>
      <c r="K7" s="56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 x14ac:dyDescent="0.25">
      <c r="A8" s="1" t="s">
        <v>23</v>
      </c>
      <c r="B8" s="1" t="s">
        <v>25</v>
      </c>
      <c r="C8" s="1" t="s">
        <v>27</v>
      </c>
      <c r="D8" s="1" t="s">
        <v>29</v>
      </c>
      <c r="E8" s="1" t="s">
        <v>31</v>
      </c>
      <c r="F8" s="1" t="s">
        <v>33</v>
      </c>
      <c r="G8" s="18" t="s">
        <v>113</v>
      </c>
      <c r="H8" s="18" t="s">
        <v>38</v>
      </c>
      <c r="I8" s="18" t="s">
        <v>41</v>
      </c>
      <c r="J8" s="18" t="s">
        <v>46</v>
      </c>
      <c r="K8" s="18" t="s">
        <v>106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4" customHeight="1" x14ac:dyDescent="0.25">
      <c r="A9" s="19" t="s">
        <v>24</v>
      </c>
      <c r="B9" s="19" t="s">
        <v>114</v>
      </c>
      <c r="C9" s="19" t="s">
        <v>28</v>
      </c>
      <c r="D9" s="19" t="s">
        <v>115</v>
      </c>
      <c r="E9" s="19" t="s">
        <v>116</v>
      </c>
      <c r="F9" s="19" t="s">
        <v>117</v>
      </c>
      <c r="G9" s="19" t="s">
        <v>118</v>
      </c>
      <c r="H9" s="19" t="s">
        <v>119</v>
      </c>
      <c r="I9" s="19" t="s">
        <v>120</v>
      </c>
      <c r="J9" s="19" t="s">
        <v>121</v>
      </c>
      <c r="K9" s="19" t="s">
        <v>122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4" customHeight="1" x14ac:dyDescent="0.25">
      <c r="A10" s="32" t="s">
        <v>251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72" customHeight="1" x14ac:dyDescent="0.25">
      <c r="A11" s="33" t="s">
        <v>252</v>
      </c>
      <c r="B11" s="34" t="s">
        <v>253</v>
      </c>
      <c r="C11" s="35" t="s">
        <v>126</v>
      </c>
      <c r="D11" s="34" t="s">
        <v>254</v>
      </c>
      <c r="E11" s="34" t="s">
        <v>255</v>
      </c>
      <c r="F11" s="34" t="s">
        <v>256</v>
      </c>
      <c r="G11" s="34" t="s">
        <v>257</v>
      </c>
      <c r="H11" s="34"/>
      <c r="I11" s="36" t="s">
        <v>74</v>
      </c>
      <c r="J11" s="37" t="s">
        <v>62</v>
      </c>
      <c r="K11" s="38" t="s">
        <v>131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72" customHeight="1" x14ac:dyDescent="0.25">
      <c r="A12" s="33" t="s">
        <v>258</v>
      </c>
      <c r="B12" s="34" t="s">
        <v>259</v>
      </c>
      <c r="C12" s="35" t="s">
        <v>126</v>
      </c>
      <c r="D12" s="34" t="s">
        <v>254</v>
      </c>
      <c r="E12" s="34" t="s">
        <v>260</v>
      </c>
      <c r="F12" s="34" t="s">
        <v>261</v>
      </c>
      <c r="G12" s="34" t="s">
        <v>262</v>
      </c>
      <c r="H12" s="34"/>
      <c r="I12" s="36" t="s">
        <v>74</v>
      </c>
      <c r="J12" s="37" t="s">
        <v>62</v>
      </c>
      <c r="K12" s="38" t="s">
        <v>131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72" customHeight="1" x14ac:dyDescent="0.25">
      <c r="A13" s="39" t="s">
        <v>263</v>
      </c>
      <c r="B13" s="40" t="s">
        <v>264</v>
      </c>
      <c r="C13" s="41" t="s">
        <v>126</v>
      </c>
      <c r="D13" s="40" t="s">
        <v>254</v>
      </c>
      <c r="E13" s="40" t="s">
        <v>265</v>
      </c>
      <c r="F13" s="40" t="s">
        <v>266</v>
      </c>
      <c r="G13" s="40" t="s">
        <v>267</v>
      </c>
      <c r="H13" s="40"/>
      <c r="I13" s="36" t="s">
        <v>74</v>
      </c>
      <c r="J13" s="41" t="s">
        <v>62</v>
      </c>
      <c r="K13" s="42" t="s">
        <v>131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72" customHeight="1" x14ac:dyDescent="0.25">
      <c r="A14" s="33" t="s">
        <v>268</v>
      </c>
      <c r="B14" s="34" t="s">
        <v>269</v>
      </c>
      <c r="C14" s="35" t="s">
        <v>126</v>
      </c>
      <c r="D14" s="34" t="s">
        <v>254</v>
      </c>
      <c r="E14" s="34" t="s">
        <v>270</v>
      </c>
      <c r="F14" s="34" t="s">
        <v>271</v>
      </c>
      <c r="G14" s="34" t="s">
        <v>272</v>
      </c>
      <c r="H14" s="34"/>
      <c r="I14" s="36" t="s">
        <v>74</v>
      </c>
      <c r="J14" s="37" t="s">
        <v>62</v>
      </c>
      <c r="K14" s="38" t="s">
        <v>131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4" customHeight="1" x14ac:dyDescent="0.25">
      <c r="A15" s="32" t="s">
        <v>273</v>
      </c>
      <c r="B15" s="32"/>
      <c r="C15" s="32"/>
      <c r="D15" s="32"/>
      <c r="E15" s="32"/>
      <c r="F15" s="32"/>
      <c r="G15" s="32"/>
      <c r="H15" s="32"/>
      <c r="I15" s="32"/>
      <c r="J15" s="43"/>
      <c r="K15" s="32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90" customHeight="1" x14ac:dyDescent="0.25">
      <c r="A16" s="33" t="s">
        <v>274</v>
      </c>
      <c r="B16" s="34" t="s">
        <v>275</v>
      </c>
      <c r="C16" s="35" t="s">
        <v>126</v>
      </c>
      <c r="D16" s="34" t="s">
        <v>276</v>
      </c>
      <c r="E16" s="34" t="s">
        <v>277</v>
      </c>
      <c r="F16" s="34" t="s">
        <v>278</v>
      </c>
      <c r="G16" s="34" t="s">
        <v>176</v>
      </c>
      <c r="H16" s="34"/>
      <c r="I16" s="36" t="s">
        <v>74</v>
      </c>
      <c r="J16" s="37" t="s">
        <v>62</v>
      </c>
      <c r="K16" s="35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72" customHeight="1" x14ac:dyDescent="0.25">
      <c r="A17" s="33" t="s">
        <v>279</v>
      </c>
      <c r="B17" s="34" t="s">
        <v>280</v>
      </c>
      <c r="C17" s="35" t="s">
        <v>126</v>
      </c>
      <c r="D17" s="34" t="s">
        <v>276</v>
      </c>
      <c r="E17" s="34" t="s">
        <v>281</v>
      </c>
      <c r="F17" s="34" t="s">
        <v>282</v>
      </c>
      <c r="G17" s="34" t="s">
        <v>283</v>
      </c>
      <c r="H17" s="34"/>
      <c r="I17" s="36" t="s">
        <v>74</v>
      </c>
      <c r="J17" s="35" t="s">
        <v>62</v>
      </c>
      <c r="K17" s="35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72" customHeight="1" x14ac:dyDescent="0.25">
      <c r="A18" s="33" t="s">
        <v>284</v>
      </c>
      <c r="B18" s="34" t="s">
        <v>285</v>
      </c>
      <c r="C18" s="35" t="s">
        <v>126</v>
      </c>
      <c r="D18" s="34" t="s">
        <v>286</v>
      </c>
      <c r="E18" s="34" t="s">
        <v>287</v>
      </c>
      <c r="F18" s="34" t="s">
        <v>288</v>
      </c>
      <c r="G18" s="34" t="s">
        <v>289</v>
      </c>
      <c r="H18" s="34"/>
      <c r="I18" s="36" t="s">
        <v>74</v>
      </c>
      <c r="J18" s="35" t="s">
        <v>62</v>
      </c>
      <c r="K18" s="35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72" customHeight="1" x14ac:dyDescent="0.25">
      <c r="A19" s="33" t="s">
        <v>290</v>
      </c>
      <c r="B19" s="34" t="s">
        <v>291</v>
      </c>
      <c r="C19" s="35" t="s">
        <v>126</v>
      </c>
      <c r="D19" s="34" t="s">
        <v>286</v>
      </c>
      <c r="E19" s="34" t="s">
        <v>292</v>
      </c>
      <c r="F19" s="34" t="s">
        <v>293</v>
      </c>
      <c r="G19" s="34" t="s">
        <v>294</v>
      </c>
      <c r="H19" s="34"/>
      <c r="I19" s="36" t="s">
        <v>74</v>
      </c>
      <c r="J19" s="35" t="s">
        <v>62</v>
      </c>
      <c r="K19" s="35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24" customHeight="1" x14ac:dyDescent="0.25">
      <c r="A20" s="32" t="s">
        <v>295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90" customHeight="1" x14ac:dyDescent="0.25">
      <c r="A21" s="33" t="s">
        <v>296</v>
      </c>
      <c r="B21" s="34" t="s">
        <v>297</v>
      </c>
      <c r="C21" s="35" t="s">
        <v>126</v>
      </c>
      <c r="D21" s="34" t="s">
        <v>298</v>
      </c>
      <c r="E21" s="34" t="s">
        <v>299</v>
      </c>
      <c r="F21" s="34" t="s">
        <v>300</v>
      </c>
      <c r="G21" s="34" t="s">
        <v>301</v>
      </c>
      <c r="H21" s="34"/>
      <c r="I21" s="36" t="s">
        <v>74</v>
      </c>
      <c r="J21" s="35" t="s">
        <v>62</v>
      </c>
      <c r="K21" s="35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54" customHeight="1" x14ac:dyDescent="0.25">
      <c r="A22" s="33" t="s">
        <v>302</v>
      </c>
      <c r="B22" s="34" t="s">
        <v>303</v>
      </c>
      <c r="C22" s="35" t="s">
        <v>126</v>
      </c>
      <c r="D22" s="34" t="s">
        <v>304</v>
      </c>
      <c r="E22" s="34" t="s">
        <v>305</v>
      </c>
      <c r="F22" s="34" t="s">
        <v>306</v>
      </c>
      <c r="G22" s="34" t="s">
        <v>307</v>
      </c>
      <c r="H22" s="34"/>
      <c r="I22" s="36" t="s">
        <v>74</v>
      </c>
      <c r="J22" s="35" t="s">
        <v>62</v>
      </c>
      <c r="K22" s="35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72" customHeight="1" x14ac:dyDescent="0.25">
      <c r="A23" s="33" t="s">
        <v>308</v>
      </c>
      <c r="B23" s="34" t="s">
        <v>309</v>
      </c>
      <c r="C23" s="35" t="s">
        <v>126</v>
      </c>
      <c r="D23" s="34" t="s">
        <v>310</v>
      </c>
      <c r="E23" s="34" t="s">
        <v>311</v>
      </c>
      <c r="F23" s="34" t="s">
        <v>312</v>
      </c>
      <c r="G23" s="34" t="s">
        <v>313</v>
      </c>
      <c r="H23" s="34"/>
      <c r="I23" s="36" t="s">
        <v>74</v>
      </c>
      <c r="J23" s="35" t="s">
        <v>62</v>
      </c>
      <c r="K23" s="35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B3:D3"/>
    <mergeCell ref="B5:D5"/>
    <mergeCell ref="G7:K7"/>
    <mergeCell ref="B4:D4"/>
    <mergeCell ref="B2:D2"/>
    <mergeCell ref="A7:F7"/>
  </mergeCells>
  <pageMargins left="0.7" right="0.7" top="0.75" bottom="0.75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opLeftCell="A50" workbookViewId="0"/>
  </sheetViews>
  <sheetFormatPr defaultColWidth="14.42578125" defaultRowHeight="15" x14ac:dyDescent="0.25"/>
  <cols>
    <col min="1" max="1" width="15.85546875" customWidth="1"/>
    <col min="2" max="2" width="27.5703125" customWidth="1"/>
    <col min="3" max="3" width="8.85546875" customWidth="1"/>
    <col min="4" max="4" width="30.140625" customWidth="1"/>
    <col min="5" max="5" width="24.7109375" customWidth="1"/>
    <col min="6" max="6" width="21.5703125" customWidth="1"/>
    <col min="7" max="7" width="23.28515625" customWidth="1"/>
    <col min="8" max="8" width="16.28515625" customWidth="1"/>
    <col min="9" max="9" width="16.7109375" customWidth="1"/>
    <col min="10" max="10" width="12.5703125" customWidth="1"/>
    <col min="11" max="11" width="11.28515625" customWidth="1"/>
    <col min="12" max="26" width="8.7109375" customWidth="1"/>
  </cols>
  <sheetData>
    <row r="1" spans="1:26" ht="32.25" customHeight="1" x14ac:dyDescent="0.25">
      <c r="A1" s="6" t="s">
        <v>104</v>
      </c>
      <c r="B1" s="5" t="s">
        <v>105</v>
      </c>
      <c r="C1" s="6"/>
      <c r="D1" s="6"/>
      <c r="E1" s="6"/>
      <c r="F1" s="16" t="s">
        <v>106</v>
      </c>
      <c r="G1" s="17">
        <f>COUNTIFS($A$10:$A$1000,"*.*",$K$10:$K$1000,"x")</f>
        <v>16</v>
      </c>
      <c r="H1" s="6"/>
      <c r="I1" s="6"/>
      <c r="J1" s="6"/>
      <c r="K1" s="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 x14ac:dyDescent="0.25">
      <c r="A2" s="16" t="s">
        <v>14</v>
      </c>
      <c r="B2" s="62" t="s">
        <v>88</v>
      </c>
      <c r="C2" s="55"/>
      <c r="D2" s="56"/>
      <c r="E2" s="6"/>
      <c r="F2" s="16" t="s">
        <v>73</v>
      </c>
      <c r="G2" s="2">
        <f>COUNTIF($A$10:$A$1000,"*.*")-G3-G4-G5</f>
        <v>0</v>
      </c>
      <c r="H2" s="6"/>
      <c r="I2" s="6"/>
      <c r="J2" s="6"/>
      <c r="K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2.75" customHeight="1" x14ac:dyDescent="0.25">
      <c r="A3" s="16" t="s">
        <v>18</v>
      </c>
      <c r="B3" s="62" t="s">
        <v>314</v>
      </c>
      <c r="C3" s="55"/>
      <c r="D3" s="56"/>
      <c r="E3" s="6"/>
      <c r="F3" s="16" t="s">
        <v>74</v>
      </c>
      <c r="G3" s="2">
        <f>COUNTIFS($A$10:$A$1000,"*.*",$I$10:$I$1000,"Thành công*")</f>
        <v>22</v>
      </c>
      <c r="H3" s="6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 x14ac:dyDescent="0.25">
      <c r="A4" s="16" t="s">
        <v>109</v>
      </c>
      <c r="B4" s="62" t="s">
        <v>52</v>
      </c>
      <c r="C4" s="55"/>
      <c r="D4" s="56"/>
      <c r="E4" s="6"/>
      <c r="F4" s="16" t="s">
        <v>75</v>
      </c>
      <c r="G4" s="2">
        <f>COUNTIFS($A$10:$A$1000,"*.*",$I$10:$I$1000,"Lỗi*")</f>
        <v>0</v>
      </c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2.75" customHeight="1" x14ac:dyDescent="0.25">
      <c r="A5" s="16" t="s">
        <v>110</v>
      </c>
      <c r="B5" s="62" t="s">
        <v>111</v>
      </c>
      <c r="C5" s="55"/>
      <c r="D5" s="56"/>
      <c r="E5" s="6"/>
      <c r="F5" s="16" t="s">
        <v>76</v>
      </c>
      <c r="G5" s="2">
        <f>COUNTIFS($A$10:$A$1000,"*.*",$I$10:$I$1000,"Hủy bỏ*")</f>
        <v>0</v>
      </c>
      <c r="H5" s="6"/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64" t="s">
        <v>22</v>
      </c>
      <c r="B7" s="55"/>
      <c r="C7" s="55"/>
      <c r="D7" s="55"/>
      <c r="E7" s="55"/>
      <c r="F7" s="56"/>
      <c r="G7" s="63" t="s">
        <v>112</v>
      </c>
      <c r="H7" s="55"/>
      <c r="I7" s="55"/>
      <c r="J7" s="55"/>
      <c r="K7" s="56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 x14ac:dyDescent="0.25">
      <c r="A8" s="1" t="s">
        <v>23</v>
      </c>
      <c r="B8" s="1" t="s">
        <v>25</v>
      </c>
      <c r="C8" s="1" t="s">
        <v>27</v>
      </c>
      <c r="D8" s="1" t="s">
        <v>29</v>
      </c>
      <c r="E8" s="1" t="s">
        <v>31</v>
      </c>
      <c r="F8" s="1" t="s">
        <v>33</v>
      </c>
      <c r="G8" s="18" t="s">
        <v>113</v>
      </c>
      <c r="H8" s="18" t="s">
        <v>38</v>
      </c>
      <c r="I8" s="18" t="s">
        <v>41</v>
      </c>
      <c r="J8" s="18" t="s">
        <v>46</v>
      </c>
      <c r="K8" s="18" t="s">
        <v>106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4" customHeight="1" x14ac:dyDescent="0.25">
      <c r="A9" s="19" t="s">
        <v>24</v>
      </c>
      <c r="B9" s="19" t="s">
        <v>114</v>
      </c>
      <c r="C9" s="19" t="s">
        <v>28</v>
      </c>
      <c r="D9" s="19" t="s">
        <v>115</v>
      </c>
      <c r="E9" s="19" t="s">
        <v>116</v>
      </c>
      <c r="F9" s="19" t="s">
        <v>117</v>
      </c>
      <c r="G9" s="19" t="s">
        <v>118</v>
      </c>
      <c r="H9" s="19" t="s">
        <v>119</v>
      </c>
      <c r="I9" s="19" t="s">
        <v>120</v>
      </c>
      <c r="J9" s="19" t="s">
        <v>121</v>
      </c>
      <c r="K9" s="19" t="s">
        <v>122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4" customHeight="1" x14ac:dyDescent="0.25">
      <c r="A10" s="32" t="s">
        <v>315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72" customHeight="1" x14ac:dyDescent="0.25">
      <c r="A11" s="33" t="s">
        <v>316</v>
      </c>
      <c r="B11" s="34" t="s">
        <v>317</v>
      </c>
      <c r="C11" s="35" t="s">
        <v>126</v>
      </c>
      <c r="D11" s="34" t="s">
        <v>318</v>
      </c>
      <c r="E11" s="34" t="s">
        <v>319</v>
      </c>
      <c r="F11" s="34" t="s">
        <v>320</v>
      </c>
      <c r="G11" s="34" t="s">
        <v>321</v>
      </c>
      <c r="H11" s="34"/>
      <c r="I11" s="36" t="s">
        <v>74</v>
      </c>
      <c r="J11" s="37" t="s">
        <v>62</v>
      </c>
      <c r="K11" s="38" t="s">
        <v>131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54" customHeight="1" x14ac:dyDescent="0.25">
      <c r="A12" s="33" t="s">
        <v>322</v>
      </c>
      <c r="B12" s="34" t="s">
        <v>323</v>
      </c>
      <c r="C12" s="35" t="s">
        <v>126</v>
      </c>
      <c r="D12" s="34" t="s">
        <v>318</v>
      </c>
      <c r="E12" s="34" t="s">
        <v>324</v>
      </c>
      <c r="F12" s="34" t="s">
        <v>325</v>
      </c>
      <c r="G12" s="34" t="s">
        <v>326</v>
      </c>
      <c r="H12" s="34"/>
      <c r="I12" s="36" t="s">
        <v>74</v>
      </c>
      <c r="J12" s="37" t="s">
        <v>62</v>
      </c>
      <c r="K12" s="38" t="s">
        <v>131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72" customHeight="1" x14ac:dyDescent="0.25">
      <c r="A13" s="39" t="s">
        <v>327</v>
      </c>
      <c r="B13" s="40" t="s">
        <v>328</v>
      </c>
      <c r="C13" s="41" t="s">
        <v>126</v>
      </c>
      <c r="D13" s="40" t="s">
        <v>318</v>
      </c>
      <c r="E13" s="40" t="s">
        <v>329</v>
      </c>
      <c r="F13" s="40" t="s">
        <v>330</v>
      </c>
      <c r="G13" s="40" t="s">
        <v>331</v>
      </c>
      <c r="H13" s="40"/>
      <c r="I13" s="36" t="s">
        <v>74</v>
      </c>
      <c r="J13" s="41" t="s">
        <v>62</v>
      </c>
      <c r="K13" s="42" t="s">
        <v>131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54" customHeight="1" x14ac:dyDescent="0.25">
      <c r="A14" s="33" t="s">
        <v>332</v>
      </c>
      <c r="B14" s="34" t="s">
        <v>333</v>
      </c>
      <c r="C14" s="35" t="s">
        <v>126</v>
      </c>
      <c r="D14" s="34" t="s">
        <v>318</v>
      </c>
      <c r="E14" s="34" t="s">
        <v>334</v>
      </c>
      <c r="F14" s="34" t="s">
        <v>335</v>
      </c>
      <c r="G14" s="34" t="s">
        <v>336</v>
      </c>
      <c r="H14" s="34"/>
      <c r="I14" s="36" t="s">
        <v>74</v>
      </c>
      <c r="J14" s="37" t="s">
        <v>62</v>
      </c>
      <c r="K14" s="38" t="s">
        <v>131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4" customHeight="1" x14ac:dyDescent="0.25">
      <c r="A15" s="32" t="s">
        <v>337</v>
      </c>
      <c r="B15" s="32"/>
      <c r="C15" s="32"/>
      <c r="D15" s="32"/>
      <c r="E15" s="32"/>
      <c r="F15" s="32"/>
      <c r="G15" s="32"/>
      <c r="H15" s="32"/>
      <c r="I15" s="32"/>
      <c r="J15" s="43"/>
      <c r="K15" s="32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72" customHeight="1" x14ac:dyDescent="0.25">
      <c r="A16" s="33" t="s">
        <v>338</v>
      </c>
      <c r="B16" s="34" t="s">
        <v>339</v>
      </c>
      <c r="C16" s="35" t="s">
        <v>126</v>
      </c>
      <c r="D16" s="34" t="s">
        <v>340</v>
      </c>
      <c r="E16" s="34" t="s">
        <v>341</v>
      </c>
      <c r="F16" s="34" t="s">
        <v>342</v>
      </c>
      <c r="G16" s="34" t="s">
        <v>343</v>
      </c>
      <c r="H16" s="34"/>
      <c r="I16" s="36" t="s">
        <v>74</v>
      </c>
      <c r="J16" s="37" t="s">
        <v>62</v>
      </c>
      <c r="K16" s="38" t="s">
        <v>131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72" customHeight="1" x14ac:dyDescent="0.25">
      <c r="A17" s="33" t="s">
        <v>344</v>
      </c>
      <c r="B17" s="34" t="s">
        <v>345</v>
      </c>
      <c r="C17" s="35" t="s">
        <v>126</v>
      </c>
      <c r="D17" s="34" t="s">
        <v>340</v>
      </c>
      <c r="E17" s="34" t="s">
        <v>346</v>
      </c>
      <c r="F17" s="34" t="s">
        <v>347</v>
      </c>
      <c r="G17" s="34" t="s">
        <v>348</v>
      </c>
      <c r="H17" s="34"/>
      <c r="I17" s="36" t="s">
        <v>74</v>
      </c>
      <c r="J17" s="35" t="s">
        <v>62</v>
      </c>
      <c r="K17" s="38" t="s">
        <v>131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54" customHeight="1" x14ac:dyDescent="0.25">
      <c r="A18" s="33" t="s">
        <v>349</v>
      </c>
      <c r="B18" s="34" t="s">
        <v>350</v>
      </c>
      <c r="C18" s="35" t="s">
        <v>126</v>
      </c>
      <c r="D18" s="34" t="s">
        <v>340</v>
      </c>
      <c r="E18" s="34" t="s">
        <v>351</v>
      </c>
      <c r="F18" s="34" t="s">
        <v>352</v>
      </c>
      <c r="G18" s="34" t="s">
        <v>353</v>
      </c>
      <c r="H18" s="34"/>
      <c r="I18" s="36" t="s">
        <v>74</v>
      </c>
      <c r="J18" s="35" t="s">
        <v>62</v>
      </c>
      <c r="K18" s="38" t="s">
        <v>131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72" customHeight="1" x14ac:dyDescent="0.25">
      <c r="A19" s="33" t="s">
        <v>354</v>
      </c>
      <c r="B19" s="34" t="s">
        <v>355</v>
      </c>
      <c r="C19" s="35" t="s">
        <v>126</v>
      </c>
      <c r="D19" s="34" t="s">
        <v>340</v>
      </c>
      <c r="E19" s="34" t="s">
        <v>356</v>
      </c>
      <c r="F19" s="34" t="s">
        <v>357</v>
      </c>
      <c r="G19" s="34" t="s">
        <v>358</v>
      </c>
      <c r="H19" s="34"/>
      <c r="I19" s="36" t="s">
        <v>74</v>
      </c>
      <c r="J19" s="35" t="s">
        <v>62</v>
      </c>
      <c r="K19" s="38" t="s">
        <v>131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72" customHeight="1" x14ac:dyDescent="0.25">
      <c r="A20" s="33" t="s">
        <v>359</v>
      </c>
      <c r="B20" s="34" t="s">
        <v>360</v>
      </c>
      <c r="C20" s="35" t="s">
        <v>126</v>
      </c>
      <c r="D20" s="34" t="s">
        <v>340</v>
      </c>
      <c r="E20" s="34" t="s">
        <v>361</v>
      </c>
      <c r="F20" s="34" t="s">
        <v>362</v>
      </c>
      <c r="G20" s="34" t="s">
        <v>363</v>
      </c>
      <c r="H20" s="34"/>
      <c r="I20" s="36" t="s">
        <v>74</v>
      </c>
      <c r="J20" s="35" t="s">
        <v>62</v>
      </c>
      <c r="K20" s="38" t="s">
        <v>131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54" customHeight="1" x14ac:dyDescent="0.25">
      <c r="A21" s="33" t="s">
        <v>364</v>
      </c>
      <c r="B21" s="34" t="s">
        <v>365</v>
      </c>
      <c r="C21" s="35" t="s">
        <v>126</v>
      </c>
      <c r="D21" s="34" t="s">
        <v>340</v>
      </c>
      <c r="E21" s="34" t="s">
        <v>366</v>
      </c>
      <c r="F21" s="34" t="s">
        <v>367</v>
      </c>
      <c r="G21" s="34" t="s">
        <v>368</v>
      </c>
      <c r="H21" s="34"/>
      <c r="I21" s="36" t="s">
        <v>74</v>
      </c>
      <c r="J21" s="35" t="s">
        <v>62</v>
      </c>
      <c r="K21" s="38" t="s">
        <v>131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4" customHeight="1" x14ac:dyDescent="0.25">
      <c r="A22" s="32" t="s">
        <v>369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72" customHeight="1" x14ac:dyDescent="0.25">
      <c r="A23" s="33" t="s">
        <v>370</v>
      </c>
      <c r="B23" s="34" t="s">
        <v>371</v>
      </c>
      <c r="C23" s="35" t="s">
        <v>126</v>
      </c>
      <c r="D23" s="34" t="s">
        <v>372</v>
      </c>
      <c r="E23" s="34" t="s">
        <v>373</v>
      </c>
      <c r="F23" s="34" t="s">
        <v>347</v>
      </c>
      <c r="G23" s="34" t="s">
        <v>374</v>
      </c>
      <c r="H23" s="34"/>
      <c r="I23" s="36" t="s">
        <v>74</v>
      </c>
      <c r="J23" s="35" t="s">
        <v>62</v>
      </c>
      <c r="K23" s="38" t="s">
        <v>131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72" customHeight="1" x14ac:dyDescent="0.25">
      <c r="A24" s="33" t="s">
        <v>375</v>
      </c>
      <c r="B24" s="34" t="s">
        <v>376</v>
      </c>
      <c r="C24" s="35" t="s">
        <v>126</v>
      </c>
      <c r="D24" s="34" t="s">
        <v>372</v>
      </c>
      <c r="E24" s="34" t="s">
        <v>377</v>
      </c>
      <c r="F24" s="34" t="s">
        <v>378</v>
      </c>
      <c r="G24" s="34" t="s">
        <v>379</v>
      </c>
      <c r="H24" s="34"/>
      <c r="I24" s="36" t="s">
        <v>74</v>
      </c>
      <c r="J24" s="35" t="s">
        <v>62</v>
      </c>
      <c r="K24" s="38" t="s">
        <v>131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54" customHeight="1" x14ac:dyDescent="0.25">
      <c r="A25" s="33" t="s">
        <v>380</v>
      </c>
      <c r="B25" s="34" t="s">
        <v>381</v>
      </c>
      <c r="C25" s="35" t="s">
        <v>126</v>
      </c>
      <c r="D25" s="34" t="s">
        <v>372</v>
      </c>
      <c r="E25" s="34" t="s">
        <v>382</v>
      </c>
      <c r="F25" s="34" t="s">
        <v>383</v>
      </c>
      <c r="G25" s="34" t="s">
        <v>384</v>
      </c>
      <c r="H25" s="34"/>
      <c r="I25" s="36" t="s">
        <v>74</v>
      </c>
      <c r="J25" s="35" t="s">
        <v>62</v>
      </c>
      <c r="K25" s="38" t="s">
        <v>131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72" customHeight="1" x14ac:dyDescent="0.25">
      <c r="A26" s="33" t="s">
        <v>385</v>
      </c>
      <c r="B26" s="34" t="s">
        <v>386</v>
      </c>
      <c r="C26" s="35" t="s">
        <v>126</v>
      </c>
      <c r="D26" s="34" t="s">
        <v>372</v>
      </c>
      <c r="E26" s="34" t="s">
        <v>387</v>
      </c>
      <c r="F26" s="34" t="s">
        <v>388</v>
      </c>
      <c r="G26" s="34" t="s">
        <v>389</v>
      </c>
      <c r="H26" s="34"/>
      <c r="I26" s="36" t="s">
        <v>74</v>
      </c>
      <c r="J26" s="35" t="s">
        <v>62</v>
      </c>
      <c r="K26" s="38" t="s">
        <v>131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72" customHeight="1" x14ac:dyDescent="0.25">
      <c r="A27" s="33" t="s">
        <v>390</v>
      </c>
      <c r="B27" s="34" t="s">
        <v>391</v>
      </c>
      <c r="C27" s="35" t="s">
        <v>126</v>
      </c>
      <c r="D27" s="34" t="s">
        <v>372</v>
      </c>
      <c r="E27" s="34" t="s">
        <v>392</v>
      </c>
      <c r="F27" s="34" t="s">
        <v>393</v>
      </c>
      <c r="G27" s="34" t="s">
        <v>394</v>
      </c>
      <c r="H27" s="34"/>
      <c r="I27" s="36" t="s">
        <v>74</v>
      </c>
      <c r="J27" s="35" t="s">
        <v>62</v>
      </c>
      <c r="K27" s="38" t="s">
        <v>131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54" customHeight="1" x14ac:dyDescent="0.25">
      <c r="A28" s="33" t="s">
        <v>395</v>
      </c>
      <c r="B28" s="34" t="s">
        <v>396</v>
      </c>
      <c r="C28" s="35" t="s">
        <v>126</v>
      </c>
      <c r="D28" s="34" t="s">
        <v>372</v>
      </c>
      <c r="E28" s="34" t="s">
        <v>397</v>
      </c>
      <c r="F28" s="34" t="s">
        <v>398</v>
      </c>
      <c r="G28" s="34" t="s">
        <v>399</v>
      </c>
      <c r="H28" s="34"/>
      <c r="I28" s="36" t="s">
        <v>74</v>
      </c>
      <c r="J28" s="35" t="s">
        <v>62</v>
      </c>
      <c r="K28" s="38" t="s">
        <v>131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24" customHeight="1" x14ac:dyDescent="0.25">
      <c r="A29" s="32" t="s">
        <v>400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08" customHeight="1" x14ac:dyDescent="0.25">
      <c r="A30" s="33" t="s">
        <v>401</v>
      </c>
      <c r="B30" s="34" t="s">
        <v>402</v>
      </c>
      <c r="C30" s="35" t="s">
        <v>126</v>
      </c>
      <c r="D30" s="34" t="s">
        <v>403</v>
      </c>
      <c r="E30" s="34" t="s">
        <v>404</v>
      </c>
      <c r="F30" s="34" t="s">
        <v>405</v>
      </c>
      <c r="G30" s="34" t="s">
        <v>406</v>
      </c>
      <c r="H30" s="34"/>
      <c r="I30" s="36" t="s">
        <v>74</v>
      </c>
      <c r="J30" s="35" t="s">
        <v>62</v>
      </c>
      <c r="K30" s="35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6" customHeight="1" x14ac:dyDescent="0.25">
      <c r="A31" s="33" t="s">
        <v>407</v>
      </c>
      <c r="B31" s="34" t="s">
        <v>408</v>
      </c>
      <c r="C31" s="35" t="s">
        <v>126</v>
      </c>
      <c r="D31" s="34" t="s">
        <v>403</v>
      </c>
      <c r="E31" s="34" t="s">
        <v>409</v>
      </c>
      <c r="F31" s="34" t="s">
        <v>410</v>
      </c>
      <c r="G31" s="34" t="s">
        <v>411</v>
      </c>
      <c r="H31" s="34"/>
      <c r="I31" s="36" t="s">
        <v>74</v>
      </c>
      <c r="J31" s="35" t="s">
        <v>62</v>
      </c>
      <c r="K31" s="35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08" customHeight="1" x14ac:dyDescent="0.25">
      <c r="A32" s="33" t="s">
        <v>412</v>
      </c>
      <c r="B32" s="34" t="s">
        <v>413</v>
      </c>
      <c r="C32" s="35" t="s">
        <v>126</v>
      </c>
      <c r="D32" s="34" t="s">
        <v>414</v>
      </c>
      <c r="E32" s="34" t="s">
        <v>415</v>
      </c>
      <c r="F32" s="34" t="s">
        <v>416</v>
      </c>
      <c r="G32" s="34" t="s">
        <v>186</v>
      </c>
      <c r="H32" s="34"/>
      <c r="I32" s="36" t="s">
        <v>74</v>
      </c>
      <c r="J32" s="35" t="s">
        <v>62</v>
      </c>
      <c r="K32" s="35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08" customHeight="1" x14ac:dyDescent="0.25">
      <c r="A33" s="33" t="s">
        <v>417</v>
      </c>
      <c r="B33" s="34" t="s">
        <v>418</v>
      </c>
      <c r="C33" s="35" t="s">
        <v>126</v>
      </c>
      <c r="D33" s="34" t="s">
        <v>419</v>
      </c>
      <c r="E33" s="34" t="s">
        <v>420</v>
      </c>
      <c r="F33" s="34" t="s">
        <v>421</v>
      </c>
      <c r="G33" s="34" t="s">
        <v>422</v>
      </c>
      <c r="H33" s="34"/>
      <c r="I33" s="36" t="s">
        <v>74</v>
      </c>
      <c r="J33" s="35" t="s">
        <v>62</v>
      </c>
      <c r="K33" s="35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08" customHeight="1" x14ac:dyDescent="0.25">
      <c r="A34" s="33" t="s">
        <v>423</v>
      </c>
      <c r="B34" s="34" t="s">
        <v>424</v>
      </c>
      <c r="C34" s="35" t="s">
        <v>126</v>
      </c>
      <c r="D34" s="34" t="s">
        <v>414</v>
      </c>
      <c r="E34" s="34" t="s">
        <v>425</v>
      </c>
      <c r="F34" s="34" t="s">
        <v>426</v>
      </c>
      <c r="G34" s="34" t="s">
        <v>422</v>
      </c>
      <c r="H34" s="34"/>
      <c r="I34" s="36" t="s">
        <v>74</v>
      </c>
      <c r="J34" s="35" t="s">
        <v>62</v>
      </c>
      <c r="K34" s="35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24" customHeight="1" x14ac:dyDescent="0.25">
      <c r="A35" s="32" t="s">
        <v>427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08" customHeight="1" x14ac:dyDescent="0.25">
      <c r="A36" s="33" t="s">
        <v>428</v>
      </c>
      <c r="B36" s="34" t="s">
        <v>429</v>
      </c>
      <c r="C36" s="35" t="s">
        <v>126</v>
      </c>
      <c r="D36" s="34" t="s">
        <v>430</v>
      </c>
      <c r="E36" s="34" t="s">
        <v>431</v>
      </c>
      <c r="F36" s="34" t="s">
        <v>432</v>
      </c>
      <c r="G36" s="34" t="s">
        <v>433</v>
      </c>
      <c r="H36" s="34"/>
      <c r="I36" s="36" t="s">
        <v>74</v>
      </c>
      <c r="J36" s="35" t="s">
        <v>62</v>
      </c>
      <c r="K36" s="35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B3:D3"/>
    <mergeCell ref="B5:D5"/>
    <mergeCell ref="G7:K7"/>
    <mergeCell ref="B4:D4"/>
    <mergeCell ref="B2:D2"/>
    <mergeCell ref="A7:F7"/>
  </mergeCells>
  <pageMargins left="0.7" right="0.7" top="0.75" bottom="0.75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x14ac:dyDescent="0.25"/>
  <cols>
    <col min="1" max="1" width="15.85546875" customWidth="1"/>
    <col min="2" max="2" width="27.5703125" customWidth="1"/>
    <col min="3" max="3" width="8.85546875" customWidth="1"/>
    <col min="4" max="4" width="30.140625" customWidth="1"/>
    <col min="5" max="5" width="24.7109375" customWidth="1"/>
    <col min="6" max="6" width="21.5703125" customWidth="1"/>
    <col min="7" max="7" width="23.28515625" customWidth="1"/>
    <col min="8" max="8" width="16.28515625" customWidth="1"/>
    <col min="9" max="9" width="16.7109375" customWidth="1"/>
    <col min="10" max="10" width="12.5703125" customWidth="1"/>
    <col min="11" max="11" width="11.28515625" customWidth="1"/>
    <col min="12" max="26" width="8.7109375" customWidth="1"/>
  </cols>
  <sheetData>
    <row r="1" spans="1:26" ht="32.25" customHeight="1" x14ac:dyDescent="0.25">
      <c r="A1" s="6" t="s">
        <v>104</v>
      </c>
      <c r="B1" s="5" t="s">
        <v>105</v>
      </c>
      <c r="C1" s="6"/>
      <c r="D1" s="6"/>
      <c r="E1" s="6"/>
      <c r="F1" s="16" t="s">
        <v>106</v>
      </c>
      <c r="G1" s="17">
        <f>COUNTIFS($A$10:$A$1000,"*.*",$K$10:$K$1000,"x")</f>
        <v>0</v>
      </c>
      <c r="H1" s="6"/>
      <c r="I1" s="6"/>
      <c r="J1" s="6"/>
      <c r="K1" s="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 x14ac:dyDescent="0.25">
      <c r="A2" s="16" t="s">
        <v>14</v>
      </c>
      <c r="B2" s="62" t="s">
        <v>91</v>
      </c>
      <c r="C2" s="55"/>
      <c r="D2" s="56"/>
      <c r="E2" s="6"/>
      <c r="F2" s="16" t="s">
        <v>73</v>
      </c>
      <c r="G2" s="2">
        <f>COUNTIF($A$10:$A$1000,"*.*")-G3-G4-G5</f>
        <v>0</v>
      </c>
      <c r="H2" s="6"/>
      <c r="I2" s="6"/>
      <c r="J2" s="6"/>
      <c r="K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2.75" customHeight="1" x14ac:dyDescent="0.25">
      <c r="A3" s="16" t="s">
        <v>18</v>
      </c>
      <c r="B3" s="62" t="s">
        <v>434</v>
      </c>
      <c r="C3" s="55"/>
      <c r="D3" s="56"/>
      <c r="E3" s="6"/>
      <c r="F3" s="16" t="s">
        <v>74</v>
      </c>
      <c r="G3" s="2">
        <f>COUNTIFS($A$10:$A$1000,"*.*",$I$10:$I$1000,"Thành công*")</f>
        <v>7</v>
      </c>
      <c r="H3" s="6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 x14ac:dyDescent="0.25">
      <c r="A4" s="16" t="s">
        <v>109</v>
      </c>
      <c r="B4" s="62" t="s">
        <v>52</v>
      </c>
      <c r="C4" s="55"/>
      <c r="D4" s="56"/>
      <c r="E4" s="6"/>
      <c r="F4" s="16" t="s">
        <v>75</v>
      </c>
      <c r="G4" s="2">
        <f>COUNTIFS($A$10:$A$1000,"*.*",$I$10:$I$1000,"Lỗi*")</f>
        <v>0</v>
      </c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2.75" customHeight="1" x14ac:dyDescent="0.25">
      <c r="A5" s="16" t="s">
        <v>110</v>
      </c>
      <c r="B5" s="62" t="s">
        <v>111</v>
      </c>
      <c r="C5" s="55"/>
      <c r="D5" s="56"/>
      <c r="E5" s="6"/>
      <c r="F5" s="16" t="s">
        <v>76</v>
      </c>
      <c r="G5" s="2">
        <f>COUNTIFS($A$10:$A$1000,"*.*",$I$10:$I$1000,"Hủy bỏ*")</f>
        <v>0</v>
      </c>
      <c r="H5" s="6"/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64" t="s">
        <v>22</v>
      </c>
      <c r="B7" s="55"/>
      <c r="C7" s="55"/>
      <c r="D7" s="55"/>
      <c r="E7" s="55"/>
      <c r="F7" s="56"/>
      <c r="G7" s="63" t="s">
        <v>112</v>
      </c>
      <c r="H7" s="55"/>
      <c r="I7" s="55"/>
      <c r="J7" s="55"/>
      <c r="K7" s="56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 x14ac:dyDescent="0.25">
      <c r="A8" s="1" t="s">
        <v>23</v>
      </c>
      <c r="B8" s="1" t="s">
        <v>25</v>
      </c>
      <c r="C8" s="1" t="s">
        <v>27</v>
      </c>
      <c r="D8" s="1" t="s">
        <v>29</v>
      </c>
      <c r="E8" s="1" t="s">
        <v>31</v>
      </c>
      <c r="F8" s="1" t="s">
        <v>33</v>
      </c>
      <c r="G8" s="18" t="s">
        <v>113</v>
      </c>
      <c r="H8" s="18" t="s">
        <v>38</v>
      </c>
      <c r="I8" s="18" t="s">
        <v>41</v>
      </c>
      <c r="J8" s="18" t="s">
        <v>46</v>
      </c>
      <c r="K8" s="18" t="s">
        <v>106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4" customHeight="1" x14ac:dyDescent="0.25">
      <c r="A9" s="19" t="s">
        <v>24</v>
      </c>
      <c r="B9" s="19" t="s">
        <v>114</v>
      </c>
      <c r="C9" s="19" t="s">
        <v>28</v>
      </c>
      <c r="D9" s="19" t="s">
        <v>115</v>
      </c>
      <c r="E9" s="19" t="s">
        <v>116</v>
      </c>
      <c r="F9" s="19" t="s">
        <v>117</v>
      </c>
      <c r="G9" s="19" t="s">
        <v>118</v>
      </c>
      <c r="H9" s="19" t="s">
        <v>119</v>
      </c>
      <c r="I9" s="19" t="s">
        <v>120</v>
      </c>
      <c r="J9" s="19" t="s">
        <v>121</v>
      </c>
      <c r="K9" s="19" t="s">
        <v>122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4" customHeight="1" x14ac:dyDescent="0.25">
      <c r="A10" s="32" t="s">
        <v>435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90" customHeight="1" x14ac:dyDescent="0.25">
      <c r="A11" s="33" t="s">
        <v>436</v>
      </c>
      <c r="B11" s="34" t="s">
        <v>437</v>
      </c>
      <c r="C11" s="35" t="s">
        <v>126</v>
      </c>
      <c r="D11" s="34" t="s">
        <v>438</v>
      </c>
      <c r="E11" s="34" t="s">
        <v>439</v>
      </c>
      <c r="F11" s="34" t="s">
        <v>440</v>
      </c>
      <c r="G11" s="34" t="s">
        <v>441</v>
      </c>
      <c r="H11" s="34"/>
      <c r="I11" s="36" t="s">
        <v>74</v>
      </c>
      <c r="J11" s="37" t="s">
        <v>62</v>
      </c>
      <c r="K11" s="35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90" customHeight="1" x14ac:dyDescent="0.25">
      <c r="A12" s="33" t="s">
        <v>442</v>
      </c>
      <c r="B12" s="34" t="s">
        <v>443</v>
      </c>
      <c r="C12" s="35" t="s">
        <v>126</v>
      </c>
      <c r="D12" s="34" t="s">
        <v>438</v>
      </c>
      <c r="E12" s="34" t="s">
        <v>444</v>
      </c>
      <c r="F12" s="34" t="s">
        <v>445</v>
      </c>
      <c r="G12" s="34" t="s">
        <v>446</v>
      </c>
      <c r="H12" s="34"/>
      <c r="I12" s="36" t="s">
        <v>74</v>
      </c>
      <c r="J12" s="37" t="s">
        <v>62</v>
      </c>
      <c r="K12" s="35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62" customHeight="1" x14ac:dyDescent="0.25">
      <c r="A13" s="39" t="s">
        <v>447</v>
      </c>
      <c r="B13" s="40" t="s">
        <v>448</v>
      </c>
      <c r="C13" s="41" t="s">
        <v>126</v>
      </c>
      <c r="D13" s="40" t="s">
        <v>438</v>
      </c>
      <c r="E13" s="40" t="s">
        <v>449</v>
      </c>
      <c r="F13" s="40" t="s">
        <v>450</v>
      </c>
      <c r="G13" s="40" t="s">
        <v>451</v>
      </c>
      <c r="H13" s="40"/>
      <c r="I13" s="36" t="s">
        <v>74</v>
      </c>
      <c r="J13" s="41" t="s">
        <v>62</v>
      </c>
      <c r="K13" s="41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26" customHeight="1" x14ac:dyDescent="0.25">
      <c r="A14" s="33" t="s">
        <v>452</v>
      </c>
      <c r="B14" s="34" t="s">
        <v>453</v>
      </c>
      <c r="C14" s="35" t="s">
        <v>126</v>
      </c>
      <c r="D14" s="34" t="s">
        <v>438</v>
      </c>
      <c r="E14" s="34" t="s">
        <v>454</v>
      </c>
      <c r="F14" s="34" t="s">
        <v>455</v>
      </c>
      <c r="G14" s="34" t="s">
        <v>456</v>
      </c>
      <c r="H14" s="34"/>
      <c r="I14" s="36" t="s">
        <v>74</v>
      </c>
      <c r="J14" s="37" t="s">
        <v>62</v>
      </c>
      <c r="K14" s="35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4" customHeight="1" x14ac:dyDescent="0.25">
      <c r="A15" s="33" t="s">
        <v>457</v>
      </c>
      <c r="B15" s="34" t="s">
        <v>458</v>
      </c>
      <c r="C15" s="35" t="s">
        <v>126</v>
      </c>
      <c r="D15" s="34" t="s">
        <v>438</v>
      </c>
      <c r="E15" s="34" t="s">
        <v>459</v>
      </c>
      <c r="F15" s="34" t="s">
        <v>460</v>
      </c>
      <c r="G15" s="34" t="s">
        <v>461</v>
      </c>
      <c r="H15" s="34"/>
      <c r="I15" s="36" t="s">
        <v>74</v>
      </c>
      <c r="J15" s="37" t="s">
        <v>62</v>
      </c>
      <c r="K15" s="35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4" customHeight="1" x14ac:dyDescent="0.25">
      <c r="A16" s="32" t="s">
        <v>462</v>
      </c>
      <c r="B16" s="32"/>
      <c r="C16" s="32"/>
      <c r="D16" s="32"/>
      <c r="E16" s="32"/>
      <c r="F16" s="32"/>
      <c r="G16" s="32"/>
      <c r="H16" s="32"/>
      <c r="I16" s="32"/>
      <c r="J16" s="43"/>
      <c r="K16" s="32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72" customHeight="1" x14ac:dyDescent="0.25">
      <c r="A17" s="33" t="s">
        <v>463</v>
      </c>
      <c r="B17" s="34" t="s">
        <v>464</v>
      </c>
      <c r="C17" s="35" t="s">
        <v>126</v>
      </c>
      <c r="D17" s="34" t="s">
        <v>465</v>
      </c>
      <c r="E17" s="34" t="s">
        <v>466</v>
      </c>
      <c r="F17" s="34" t="s">
        <v>467</v>
      </c>
      <c r="G17" s="34" t="s">
        <v>468</v>
      </c>
      <c r="H17" s="34"/>
      <c r="I17" s="36" t="s">
        <v>74</v>
      </c>
      <c r="J17" s="35" t="s">
        <v>62</v>
      </c>
      <c r="K17" s="35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42" customHeight="1" x14ac:dyDescent="0.25">
      <c r="A18" s="33" t="s">
        <v>469</v>
      </c>
      <c r="B18" s="34" t="s">
        <v>470</v>
      </c>
      <c r="C18" s="35" t="s">
        <v>126</v>
      </c>
      <c r="D18" s="34" t="s">
        <v>471</v>
      </c>
      <c r="E18" s="34" t="s">
        <v>472</v>
      </c>
      <c r="F18" s="34" t="s">
        <v>473</v>
      </c>
      <c r="G18" s="34" t="s">
        <v>474</v>
      </c>
      <c r="H18" s="34"/>
      <c r="I18" s="36" t="s">
        <v>74</v>
      </c>
      <c r="J18" s="35" t="s">
        <v>62</v>
      </c>
      <c r="K18" s="35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5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3.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3.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3.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3.5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B3:D3"/>
    <mergeCell ref="B5:D5"/>
    <mergeCell ref="G7:K7"/>
    <mergeCell ref="B4:D4"/>
    <mergeCell ref="B2:D2"/>
    <mergeCell ref="A7:F7"/>
  </mergeCells>
  <pageMargins left="0.7" right="0.7" top="0.75" bottom="0.75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zoomScaleNormal="100" workbookViewId="0">
      <selection activeCell="G11" sqref="G11"/>
    </sheetView>
  </sheetViews>
  <sheetFormatPr defaultColWidth="14.42578125" defaultRowHeight="15" x14ac:dyDescent="0.25"/>
  <cols>
    <col min="1" max="1" width="8" customWidth="1"/>
    <col min="2" max="2" width="15" customWidth="1"/>
    <col min="3" max="3" width="16" customWidth="1"/>
    <col min="4" max="4" width="38" customWidth="1"/>
    <col min="5" max="5" width="30" customWidth="1"/>
    <col min="6" max="6" width="18" customWidth="1"/>
    <col min="7" max="7" width="35" customWidth="1"/>
    <col min="8" max="26" width="8" customWidth="1"/>
  </cols>
  <sheetData>
    <row r="1" spans="1:7" ht="30" customHeight="1" x14ac:dyDescent="0.3">
      <c r="A1" s="29" t="s">
        <v>475</v>
      </c>
    </row>
    <row r="2" spans="1:7" ht="24.95" customHeight="1" x14ac:dyDescent="0.25">
      <c r="A2" s="30" t="s">
        <v>95</v>
      </c>
      <c r="B2" s="30" t="s">
        <v>476</v>
      </c>
      <c r="C2" s="30" t="s">
        <v>477</v>
      </c>
      <c r="D2" s="30" t="s">
        <v>478</v>
      </c>
      <c r="E2" s="30" t="s">
        <v>479</v>
      </c>
      <c r="F2" s="30" t="s">
        <v>480</v>
      </c>
      <c r="G2" s="30" t="s">
        <v>481</v>
      </c>
    </row>
    <row r="3" spans="1:7" ht="35.1" customHeight="1" x14ac:dyDescent="0.25">
      <c r="A3" s="35" t="s">
        <v>482</v>
      </c>
      <c r="B3" s="35" t="s">
        <v>80</v>
      </c>
      <c r="C3" s="35" t="s">
        <v>483</v>
      </c>
      <c r="D3" s="34" t="s">
        <v>484</v>
      </c>
      <c r="E3" s="34" t="s">
        <v>485</v>
      </c>
      <c r="F3" s="36" t="s">
        <v>486</v>
      </c>
      <c r="G3" s="34" t="s">
        <v>487</v>
      </c>
    </row>
    <row r="4" spans="1:7" ht="35.1" customHeight="1" x14ac:dyDescent="0.25">
      <c r="A4" s="35" t="s">
        <v>488</v>
      </c>
      <c r="B4" s="35" t="s">
        <v>80</v>
      </c>
      <c r="C4" s="35" t="s">
        <v>489</v>
      </c>
      <c r="D4" s="34" t="s">
        <v>490</v>
      </c>
      <c r="E4" s="34" t="s">
        <v>491</v>
      </c>
      <c r="F4" s="36" t="s">
        <v>492</v>
      </c>
      <c r="G4" s="34" t="s">
        <v>487</v>
      </c>
    </row>
    <row r="5" spans="1:7" ht="35.1" customHeight="1" x14ac:dyDescent="0.25">
      <c r="A5" s="35" t="s">
        <v>493</v>
      </c>
      <c r="B5" s="35" t="s">
        <v>83</v>
      </c>
      <c r="C5" s="35" t="s">
        <v>494</v>
      </c>
      <c r="D5" s="34" t="s">
        <v>495</v>
      </c>
      <c r="E5" s="34" t="s">
        <v>496</v>
      </c>
      <c r="F5" s="36" t="s">
        <v>492</v>
      </c>
      <c r="G5" s="34" t="s">
        <v>497</v>
      </c>
    </row>
    <row r="6" spans="1:7" ht="35.1" customHeight="1" x14ac:dyDescent="0.25">
      <c r="A6" s="35" t="s">
        <v>498</v>
      </c>
      <c r="B6" s="35" t="s">
        <v>86</v>
      </c>
      <c r="C6" s="35" t="s">
        <v>499</v>
      </c>
      <c r="D6" s="34" t="s">
        <v>500</v>
      </c>
      <c r="E6" s="34" t="s">
        <v>501</v>
      </c>
      <c r="F6" s="36" t="s">
        <v>502</v>
      </c>
      <c r="G6" s="34" t="s">
        <v>503</v>
      </c>
    </row>
    <row r="7" spans="1:7" ht="35.1" customHeight="1" x14ac:dyDescent="0.25">
      <c r="A7" s="35" t="s">
        <v>504</v>
      </c>
      <c r="B7" s="35" t="s">
        <v>86</v>
      </c>
      <c r="C7" s="35" t="s">
        <v>505</v>
      </c>
      <c r="D7" s="34" t="s">
        <v>506</v>
      </c>
      <c r="E7" s="34" t="s">
        <v>507</v>
      </c>
      <c r="F7" s="36" t="s">
        <v>492</v>
      </c>
      <c r="G7" s="34" t="s">
        <v>508</v>
      </c>
    </row>
    <row r="8" spans="1:7" ht="35.1" customHeight="1" x14ac:dyDescent="0.25">
      <c r="A8" s="35" t="s">
        <v>509</v>
      </c>
      <c r="B8" s="35" t="s">
        <v>89</v>
      </c>
      <c r="C8" s="35" t="s">
        <v>510</v>
      </c>
      <c r="D8" s="34" t="s">
        <v>511</v>
      </c>
      <c r="E8" s="34" t="s">
        <v>512</v>
      </c>
      <c r="F8" s="36" t="s">
        <v>492</v>
      </c>
      <c r="G8" s="34" t="s">
        <v>513</v>
      </c>
    </row>
    <row r="9" spans="1:7" ht="35.1" customHeight="1" x14ac:dyDescent="0.25">
      <c r="A9" s="35" t="s">
        <v>514</v>
      </c>
      <c r="B9" s="35" t="s">
        <v>89</v>
      </c>
      <c r="C9" s="35" t="s">
        <v>515</v>
      </c>
      <c r="D9" s="34" t="s">
        <v>516</v>
      </c>
      <c r="E9" s="34" t="s">
        <v>517</v>
      </c>
      <c r="F9" s="36" t="s">
        <v>492</v>
      </c>
      <c r="G9" s="34" t="s">
        <v>513</v>
      </c>
    </row>
    <row r="10" spans="1:7" ht="35.1" customHeight="1" x14ac:dyDescent="0.25">
      <c r="A10" s="35" t="s">
        <v>518</v>
      </c>
      <c r="B10" s="35" t="s">
        <v>92</v>
      </c>
      <c r="C10" s="35" t="s">
        <v>519</v>
      </c>
      <c r="D10" s="34" t="s">
        <v>520</v>
      </c>
      <c r="E10" s="34" t="s">
        <v>521</v>
      </c>
      <c r="F10" s="36" t="s">
        <v>492</v>
      </c>
      <c r="G10" s="34" t="s">
        <v>522</v>
      </c>
    </row>
    <row r="11" spans="1:7" ht="35.1" customHeight="1" x14ac:dyDescent="0.25">
      <c r="A11" s="27"/>
      <c r="B11" s="27"/>
      <c r="C11" s="27"/>
      <c r="D11" s="26"/>
      <c r="E11" s="26"/>
      <c r="F11" s="28"/>
      <c r="G11" s="26"/>
    </row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="115" zoomScaleNormal="115" workbookViewId="0"/>
  </sheetViews>
  <sheetFormatPr defaultColWidth="14.42578125" defaultRowHeight="15" x14ac:dyDescent="0.25"/>
  <cols>
    <col min="1" max="1" width="15.85546875" customWidth="1"/>
    <col min="2" max="2" width="27.5703125" customWidth="1"/>
    <col min="3" max="3" width="8.85546875" customWidth="1"/>
    <col min="4" max="4" width="30.140625" customWidth="1"/>
    <col min="5" max="5" width="24.7109375" customWidth="1"/>
    <col min="6" max="6" width="21.5703125" customWidth="1"/>
    <col min="7" max="7" width="23.28515625" customWidth="1"/>
    <col min="8" max="8" width="16.28515625" customWidth="1"/>
    <col min="9" max="9" width="16.7109375" customWidth="1"/>
    <col min="10" max="10" width="12.5703125" customWidth="1"/>
    <col min="11" max="11" width="11.28515625" customWidth="1"/>
    <col min="12" max="26" width="8.7109375" customWidth="1"/>
  </cols>
  <sheetData>
    <row r="1" spans="1:26" ht="32.25" customHeight="1" x14ac:dyDescent="0.25">
      <c r="A1" s="6" t="s">
        <v>104</v>
      </c>
      <c r="B1" s="5" t="s">
        <v>105</v>
      </c>
      <c r="C1" s="6"/>
      <c r="D1" s="6"/>
      <c r="E1" s="6"/>
      <c r="F1" s="16" t="s">
        <v>106</v>
      </c>
      <c r="G1" s="17">
        <f>COUNTIFS($A$10:$A$1000,"*.*",$K$10:$K$1000,"x")</f>
        <v>0</v>
      </c>
      <c r="H1" s="6"/>
      <c r="I1" s="6"/>
      <c r="J1" s="6"/>
      <c r="K1" s="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 x14ac:dyDescent="0.25">
      <c r="A2" s="16" t="s">
        <v>14</v>
      </c>
      <c r="B2" s="62"/>
      <c r="C2" s="55"/>
      <c r="D2" s="56"/>
      <c r="E2" s="6"/>
      <c r="F2" s="16" t="s">
        <v>73</v>
      </c>
      <c r="G2" s="2">
        <f>COUNTIF($A$10:$A$1000,"*.*")-G3-G4-G5</f>
        <v>5</v>
      </c>
      <c r="H2" s="6"/>
      <c r="I2" s="6"/>
      <c r="J2" s="6"/>
      <c r="K2" s="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2.75" customHeight="1" x14ac:dyDescent="0.25">
      <c r="A3" s="16" t="s">
        <v>18</v>
      </c>
      <c r="B3" s="62"/>
      <c r="C3" s="55"/>
      <c r="D3" s="56"/>
      <c r="E3" s="6"/>
      <c r="F3" s="16" t="s">
        <v>74</v>
      </c>
      <c r="G3" s="2">
        <f>COUNTIFS($A$10:$A$1000,"*.*",$I$10:$I$1000,"Thành công*")</f>
        <v>0</v>
      </c>
      <c r="H3" s="6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3.5" customHeight="1" x14ac:dyDescent="0.25">
      <c r="A4" s="16" t="s">
        <v>109</v>
      </c>
      <c r="B4" s="62" t="s">
        <v>523</v>
      </c>
      <c r="C4" s="55"/>
      <c r="D4" s="56"/>
      <c r="E4" s="6"/>
      <c r="F4" s="16" t="s">
        <v>75</v>
      </c>
      <c r="G4" s="2">
        <f>COUNTIFS($A$10:$A$1000,"*.*",$I$10:$I$1000,"Lỗi*")</f>
        <v>0</v>
      </c>
      <c r="H4" s="6"/>
      <c r="I4" s="6"/>
      <c r="J4" s="6"/>
      <c r="K4" s="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42.75" customHeight="1" x14ac:dyDescent="0.25">
      <c r="A5" s="16" t="s">
        <v>110</v>
      </c>
      <c r="B5" s="62"/>
      <c r="C5" s="55"/>
      <c r="D5" s="56"/>
      <c r="E5" s="6"/>
      <c r="F5" s="16" t="s">
        <v>76</v>
      </c>
      <c r="G5" s="2">
        <f>COUNTIFS($A$10:$A$1000,"*.*",$I$10:$I$1000,"Hủy bỏ*")</f>
        <v>0</v>
      </c>
      <c r="H5" s="6"/>
      <c r="I5" s="6"/>
      <c r="J5" s="6"/>
      <c r="K5" s="6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25">
      <c r="A7" s="64" t="s">
        <v>22</v>
      </c>
      <c r="B7" s="55"/>
      <c r="C7" s="55"/>
      <c r="D7" s="55"/>
      <c r="E7" s="55"/>
      <c r="F7" s="56"/>
      <c r="G7" s="63" t="s">
        <v>112</v>
      </c>
      <c r="H7" s="55"/>
      <c r="I7" s="55"/>
      <c r="J7" s="55"/>
      <c r="K7" s="56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3.5" customHeight="1" x14ac:dyDescent="0.25">
      <c r="A8" s="1" t="s">
        <v>23</v>
      </c>
      <c r="B8" s="1" t="s">
        <v>25</v>
      </c>
      <c r="C8" s="1" t="s">
        <v>27</v>
      </c>
      <c r="D8" s="1" t="s">
        <v>29</v>
      </c>
      <c r="E8" s="1" t="s">
        <v>31</v>
      </c>
      <c r="F8" s="1" t="s">
        <v>33</v>
      </c>
      <c r="G8" s="18" t="s">
        <v>113</v>
      </c>
      <c r="H8" s="18" t="s">
        <v>38</v>
      </c>
      <c r="I8" s="18" t="s">
        <v>41</v>
      </c>
      <c r="J8" s="18" t="s">
        <v>46</v>
      </c>
      <c r="K8" s="18" t="s">
        <v>106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4" customHeight="1" x14ac:dyDescent="0.25">
      <c r="A9" s="19" t="s">
        <v>24</v>
      </c>
      <c r="B9" s="19" t="s">
        <v>114</v>
      </c>
      <c r="C9" s="19" t="s">
        <v>28</v>
      </c>
      <c r="D9" s="19" t="s">
        <v>115</v>
      </c>
      <c r="E9" s="19" t="s">
        <v>116</v>
      </c>
      <c r="F9" s="19" t="s">
        <v>117</v>
      </c>
      <c r="G9" s="19" t="s">
        <v>118</v>
      </c>
      <c r="H9" s="19" t="s">
        <v>119</v>
      </c>
      <c r="I9" s="19" t="s">
        <v>120</v>
      </c>
      <c r="J9" s="19" t="s">
        <v>121</v>
      </c>
      <c r="K9" s="19" t="s">
        <v>122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3.5" customHeight="1" x14ac:dyDescent="0.25">
      <c r="A10" s="20" t="s">
        <v>524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5.5" customHeight="1" x14ac:dyDescent="0.25">
      <c r="A11" s="3" t="s">
        <v>525</v>
      </c>
      <c r="B11" s="3"/>
      <c r="C11" s="3"/>
      <c r="D11" s="3"/>
      <c r="E11" s="3"/>
      <c r="F11" s="3"/>
      <c r="G11" s="3"/>
      <c r="H11" s="3"/>
      <c r="I11" s="3"/>
      <c r="J11" s="12"/>
      <c r="K11" s="3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9.5" customHeight="1" x14ac:dyDescent="0.25">
      <c r="A12" s="3" t="s">
        <v>526</v>
      </c>
      <c r="B12" s="3"/>
      <c r="C12" s="3"/>
      <c r="D12" s="3"/>
      <c r="E12" s="3"/>
      <c r="F12" s="3"/>
      <c r="G12" s="3"/>
      <c r="H12" s="3"/>
      <c r="I12" s="3"/>
      <c r="J12" s="12"/>
      <c r="K12" s="3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3.5" customHeight="1" x14ac:dyDescent="0.25">
      <c r="A13" s="20" t="s">
        <v>527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3.5" customHeight="1" x14ac:dyDescent="0.25">
      <c r="A14" s="3" t="s">
        <v>528</v>
      </c>
      <c r="B14" s="3"/>
      <c r="C14" s="3"/>
      <c r="D14" s="3"/>
      <c r="E14" s="3"/>
      <c r="F14" s="3"/>
      <c r="G14" s="3"/>
      <c r="H14" s="3"/>
      <c r="I14" s="3"/>
      <c r="J14" s="12"/>
      <c r="K14" s="3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3.5" customHeight="1" x14ac:dyDescent="0.25">
      <c r="A15" s="3" t="s">
        <v>529</v>
      </c>
      <c r="B15" s="3"/>
      <c r="C15" s="3"/>
      <c r="D15" s="3"/>
      <c r="E15" s="3"/>
      <c r="F15" s="3"/>
      <c r="G15" s="3"/>
      <c r="H15" s="3"/>
      <c r="I15" s="3"/>
      <c r="J15" s="12"/>
      <c r="K15" s="3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3.5" customHeight="1" x14ac:dyDescent="0.25">
      <c r="A16" s="3" t="s">
        <v>530</v>
      </c>
      <c r="B16" s="3"/>
      <c r="C16" s="3"/>
      <c r="D16" s="3"/>
      <c r="E16" s="3"/>
      <c r="F16" s="3"/>
      <c r="G16" s="3"/>
      <c r="H16" s="3"/>
      <c r="I16" s="3"/>
      <c r="J16" s="12"/>
      <c r="K16" s="3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3.5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3.5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5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3.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3.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3.5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3.5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customHeight="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3.5" customHeight="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3.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3.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3.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3.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3.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3.5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3.5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3.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3.5" customHeight="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3.5" customHeight="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3.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3.5" customHeight="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3.5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3.5" customHeight="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.5" customHeight="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.5" customHeight="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.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.5" customHeight="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.5" customHeight="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.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.5" customHeight="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.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.5" customHeight="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.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.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.5" customHeight="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.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.5" customHeight="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.5" customHeight="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.5" customHeight="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.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.5" customHeight="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.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.5" customHeight="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.5" customHeight="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.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.5" customHeight="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.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.5" customHeight="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.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.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.5" customHeight="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.5" customHeight="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.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.5" customHeight="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.5" customHeight="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.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.5" customHeight="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.5" customHeight="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.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.5" customHeight="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.5" customHeight="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.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.5" customHeight="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.5" customHeight="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.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.5" customHeight="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.5" customHeight="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.5" customHeight="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.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.5" customHeight="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.5" customHeight="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.5" customHeight="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.5" customHeight="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.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.5" customHeight="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.5" customHeight="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.5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.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.5" customHeight="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.5" customHeight="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.5" customHeight="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.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.5" customHeight="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.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.5" customHeight="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.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.5" customHeight="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.5" customHeight="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.5" customHeight="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.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.5" customHeight="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.5" customHeight="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.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.5" customHeight="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.5" customHeight="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.5" customHeight="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.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.5" customHeight="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.5" customHeight="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.5" customHeight="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.5" customHeight="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.5" customHeight="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.5" customHeight="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.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.5" customHeight="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.5" customHeight="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.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.5" customHeight="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.5" customHeight="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.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.5" customHeight="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.5" customHeigh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.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.5" customHeight="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.5" customHeight="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.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.5" customHeight="1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.5" customHeight="1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.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.5" customHeight="1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.5" customHeight="1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.5" customHeight="1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.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.5" customHeight="1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.5" customHeight="1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.5" customHeight="1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.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.5" customHeight="1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.5" customHeight="1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.5" customHeight="1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.5" customHeight="1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.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.5" customHeight="1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.5" customHeight="1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.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.5" customHeight="1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.5" customHeight="1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.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.5" customHeight="1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.5" customHeight="1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.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.5" customHeight="1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.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.5" customHeight="1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.5" customHeight="1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.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.5" customHeight="1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.5" customHeight="1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.5" customHeight="1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.5" customHeight="1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.5" customHeight="1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.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.5" customHeight="1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.5" customHeight="1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.5" customHeight="1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.5" customHeight="1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.5" customHeight="1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.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.5" customHeight="1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.5" customHeight="1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.5" customHeight="1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.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.5" customHeight="1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.5" customHeight="1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.5" customHeight="1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.5" customHeight="1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.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.5" customHeight="1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.5" customHeight="1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.5" customHeight="1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.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.5" customHeight="1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.5" customHeight="1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.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.5" customHeight="1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.5" customHeight="1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.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.5" customHeight="1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.5" customHeight="1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.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.5" customHeight="1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.5" customHeight="1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.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.5" customHeight="1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.5" customHeight="1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.5" customHeight="1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.5" customHeight="1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.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.5" customHeight="1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.5" customHeight="1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.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.5" customHeight="1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.5" customHeight="1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.5" customHeight="1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.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.5" customHeight="1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.5" customHeight="1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.5" customHeight="1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.5" customHeight="1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.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.5" customHeight="1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.5" customHeight="1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.5" customHeight="1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.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.5" customHeight="1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.5" customHeight="1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.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.5" customHeight="1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.5" customHeight="1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.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.5" customHeight="1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.5" customHeight="1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.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.5" customHeight="1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.5" customHeight="1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.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.5" customHeight="1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.5" customHeight="1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.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.5" customHeight="1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.5" customHeight="1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.5" customHeight="1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.5" customHeight="1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.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.5" customHeight="1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.5" customHeight="1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.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.5" customHeight="1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.5" customHeight="1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.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.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.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.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.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.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.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.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.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.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.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.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.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.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.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.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.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.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.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.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.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.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.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.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.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.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.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.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.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.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.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.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.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.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.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.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.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.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.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.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.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.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.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.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.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.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.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.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.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.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.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.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.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.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.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.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.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.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.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.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.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.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.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.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.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.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.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.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.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.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.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.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.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.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.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.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.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.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.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.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.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.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.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.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.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.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.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.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.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.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.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.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.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.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.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.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.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.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.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.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.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.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.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.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.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.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.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.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.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.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.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.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.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.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.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.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.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.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.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.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.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.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.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.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.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.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.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.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.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.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.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.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.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.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.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.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.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.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.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.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.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.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.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.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.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.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.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.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.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.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.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.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.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.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.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.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.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.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.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.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.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.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.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.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.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.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.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.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.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.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.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.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.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.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.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.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.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.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.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.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.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.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.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.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.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.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.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.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.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.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.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.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.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.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.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.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.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.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.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.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.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.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.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.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.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.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.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.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.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.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.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.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.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.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.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.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.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.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.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.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.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.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.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.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.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.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.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.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.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.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.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.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.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.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.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.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.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.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.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.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.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.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.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.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.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.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.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.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.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.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.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.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.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.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.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.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.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.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.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.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.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.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.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.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.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.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.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.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.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.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.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.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.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.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.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.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.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.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.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.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.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.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.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.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.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.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.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.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.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.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.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.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.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.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.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.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.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.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.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.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.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.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.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.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.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.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.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.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.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.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.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.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.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.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.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.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.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.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.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.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.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.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.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.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.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.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.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.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.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.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.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.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.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.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.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.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.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.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.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.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.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.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.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.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.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.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.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.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.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.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.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.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.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.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.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.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.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.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.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.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.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.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.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.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.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.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.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.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.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.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.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.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.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.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.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.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.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.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.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.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.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.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.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.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.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.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.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.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.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.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.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.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.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.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.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.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.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.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.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.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.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.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.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.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.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.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.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.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.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.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.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.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.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.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.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.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.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.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.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.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.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.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.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.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.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.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.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.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.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.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.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.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.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.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.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.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.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.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.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.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.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.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.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.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.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.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.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.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.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.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.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.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.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.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.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.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.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.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.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.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.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.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.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.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.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.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.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.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.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.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.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.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.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.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.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.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.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.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.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.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.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.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.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.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.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.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.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.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.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.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.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.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.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.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.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.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.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.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.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.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.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.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.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.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.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.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.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.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.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.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.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.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.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.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.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.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.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.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.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.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.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.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.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.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.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.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.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.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.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.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.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.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.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.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.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.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.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.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.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.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.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.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.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.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.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.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.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.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.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.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.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.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.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.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.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.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.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.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.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.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.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.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.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.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.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.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.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.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.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.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.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.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.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.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.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.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.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.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.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.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.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.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.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.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.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.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.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.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.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.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.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.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.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.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.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.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.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.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.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.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.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.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.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.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.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.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.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.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.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.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.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.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.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.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.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.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.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.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.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.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.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.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.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.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.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.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.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.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.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.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.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.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.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.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.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.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.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.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.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.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.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.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.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.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.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.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.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.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.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.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.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.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.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.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.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.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.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.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.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.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.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.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.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.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.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.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.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.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.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.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.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.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.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.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.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.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.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.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.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.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.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.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.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.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.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.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.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.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.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.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.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.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.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.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.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.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.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.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.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.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.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.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.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.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.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.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.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.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.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.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.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.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.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.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.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.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.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.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.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.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.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.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.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.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.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.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.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.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.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.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.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.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.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.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.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.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.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.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.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.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B3:D3"/>
    <mergeCell ref="B5:D5"/>
    <mergeCell ref="G7:K7"/>
    <mergeCell ref="B4:D4"/>
    <mergeCell ref="B2:D2"/>
    <mergeCell ref="A7:F7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Guide</vt:lpstr>
      <vt:lpstr>CoverPage</vt:lpstr>
      <vt:lpstr>MainList</vt:lpstr>
      <vt:lpstr>UAT_DT_01</vt:lpstr>
      <vt:lpstr>UAT_DTCT_02</vt:lpstr>
      <vt:lpstr>UAT_CN_03</vt:lpstr>
      <vt:lpstr>UAT_KPI_04</vt:lpstr>
      <vt:lpstr>UAT_KPICT_05</vt:lpstr>
      <vt:lpstr>Evidence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Phương Chi</dc:creator>
  <cp:lastModifiedBy>Mạnh Nguyễn Duy</cp:lastModifiedBy>
  <cp:revision>0</cp:revision>
  <dcterms:created xsi:type="dcterms:W3CDTF">2015-06-05T18:17:20Z</dcterms:created>
  <dcterms:modified xsi:type="dcterms:W3CDTF">2026-10-13T08:40:58Z</dcterms:modified>
  <dc:language>en-US</dc:language>
</cp:coreProperties>
</file>