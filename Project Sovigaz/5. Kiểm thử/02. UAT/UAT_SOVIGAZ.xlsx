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-587K9L3\Documents\Môn học kì này\INDA\Project Sovigaz\5. Kiểm thử\02. UAT\"/>
    </mc:Choice>
  </mc:AlternateContent>
  <xr:revisionPtr revIDLastSave="0" documentId="13_ncr:1_{27F54920-24F4-4EF3-9CDF-0A850482D7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0" i="1"/>
  <c r="J19" i="1"/>
  <c r="J18" i="1"/>
  <c r="J17" i="1"/>
  <c r="J16" i="1"/>
  <c r="J14" i="1"/>
  <c r="J13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<sst xmlns="http://schemas.openxmlformats.org/spreadsheetml/2006/main" count="500" uniqueCount="214">
  <si>
    <t>Report Name</t>
  </si>
  <si>
    <t>Visual / Card Name</t>
  </si>
  <si>
    <t>Visual Type</t>
  </si>
  <si>
    <t>KPI / Field Name</t>
  </si>
  <si>
    <t>DWH Source Table</t>
  </si>
  <si>
    <t>Source System</t>
  </si>
  <si>
    <t>SQL Test Script Name</t>
  </si>
  <si>
    <t>Expected Result</t>
  </si>
  <si>
    <t>Actual Result</t>
  </si>
  <si>
    <t>Variance</t>
  </si>
  <si>
    <t>Owner</t>
  </si>
  <si>
    <t xml:space="preserve"> </t>
  </si>
  <si>
    <t>Filter Context</t>
  </si>
  <si>
    <t>Doanh thu</t>
  </si>
  <si>
    <t>Doanh thu thực tế</t>
  </si>
  <si>
    <t>Card</t>
  </si>
  <si>
    <t>Measure[Doanh thu thực tế]</t>
  </si>
  <si>
    <t>DM_RevenueBySaleLedger</t>
  </si>
  <si>
    <t>Sổ chi tiết bán hàng</t>
  </si>
  <si>
    <t>SELECT SUM(ReceiptAmount) - SUM(VATAmount) AS DT
FROM Datamart.DM_RevenueBySaleLedger</t>
  </si>
  <si>
    <t>Pass</t>
  </si>
  <si>
    <t>Thời gian: Toàn thời gian (All)</t>
  </si>
  <si>
    <t>Thuế VAT</t>
  </si>
  <si>
    <t>Measure[Thuế VAT]</t>
  </si>
  <si>
    <t>SELECT SUM(VATAmount) AS ThueVAT
FROM Datamart.DM_RevenueBySaleLedger</t>
  </si>
  <si>
    <t>Doanh thu trước thuế (Doanh thu gồm thuế)</t>
  </si>
  <si>
    <t>Measure[Doanh thu gồm thuế]</t>
  </si>
  <si>
    <t>SELECT SUM(ReceiptAmount) AS DoanhThuGomThue
FROM Datamart.DM_RevenueBySaleLedger</t>
  </si>
  <si>
    <t>Tổng đơn hàng</t>
  </si>
  <si>
    <t>Measure[Tổng đơn hàng]</t>
  </si>
  <si>
    <t>SELECT COUNT(DISTINCT InvNo) AS TongDonHang
FROM Datamart.DM_RevenueBySaleLedger</t>
  </si>
  <si>
    <t>Giá trị TB đơn hàng</t>
  </si>
  <si>
    <t>Measure[Giá trị TB đơn hàng]</t>
  </si>
  <si>
    <t>SELECT (SUM(ReceiptAmount) - SUM(VATAmount)) / COUNT(DISTINCT InvNo)
FROM Datamart.DM_RevenueBySaleLedger</t>
  </si>
  <si>
    <t>Doanh thu và số đơn hàng theo từng tháng</t>
  </si>
  <si>
    <t>Chart</t>
  </si>
  <si>
    <t>Measure[Doanh thu thực tế], Measure[Tổng đơn hàng]</t>
  </si>
  <si>
    <t>DM_RevenueBySaleLedger, Dim_Date</t>
  </si>
  <si>
    <t>SELECT d.Month, SUM(s.ReceiptAmount - s.VATAmount) AS DT, COUNT(DISTINCT s.InvNo) AS DonHang
FROM DM_RevenueBySaleLedger s
JOIN Dim_Date d ON s.PostedDate = d.Date
GROUP BY d.Month
ORDER BY d.Month</t>
  </si>
  <si>
    <t>Giống nhau</t>
  </si>
  <si>
    <t>Doanh thu theo nhóm vật tư/hàng hóa</t>
  </si>
  <si>
    <t>Measure[Doanh thu thực tế], Dim_InventoryItemType[InventoryItemTypeName]</t>
  </si>
  <si>
    <t>DM_RevenueBySaleLedger, Dim_Products, Dim_InventoryItemType</t>
  </si>
  <si>
    <t>SELECT t.InventoryItemTypeName, SUM(s.ReceiptAmount - s.VATAmount) AS DT
FROM DM_RevenueBySaleLedger s
JOIN Dim_Products p ON s.InventoryItemCode_New = p.InventoryItemCode_New
JOIN Dim_InventoryItemType t ON p.InventoryItemType = t.InventoryItemType
GROUP BY t.InventoryItemTypeName</t>
  </si>
  <si>
    <t>Doanh thu theo từng tháng của nhóm khách hàng</t>
  </si>
  <si>
    <t>Measure[Doanh thu thực tế], Dim_Customer[Excel_Customer_Category]</t>
  </si>
  <si>
    <t>DM_RevenueBySaleLedger, Dim_Customer, Dim_Date</t>
  </si>
  <si>
    <t>SELECT d.Month, c.Excel_Customer_Category, SUM(s.ReceiptAmount - s.VATAmount) AS DT
FROM DM_RevenueBySaleLedger s
JOIN Dim_Customer c ON s.AccountObjectCode = c.AccountObjectCode
JOIN Dim_Date d ON s.PostedDate = d.Date
GROUP BY d.Month, c.Excel_Customer_Category</t>
  </si>
  <si>
    <t>Doanh thu theo nhóm khách hàng</t>
  </si>
  <si>
    <t>DM_RevenueBySaleLedger, Dim_Customer</t>
  </si>
  <si>
    <t>SELECT c.Excel_Customer_Category, SUM(s.ReceiptAmount - s.VATAmount) AS DT
FROM DM_RevenueBySaleLedger s
JOIN Dim_Customer c ON s.AccountObjectCode = c.AccountObjectCode
GROUP BY c.Excel_Customer_Category</t>
  </si>
  <si>
    <t>Doanh thu theo tháng của từng xí nghiệp</t>
  </si>
  <si>
    <t>Measure[Doanh thu thực tế], Dim_Stock[StockName]</t>
  </si>
  <si>
    <t>DM_RevenueBySaleLedger, Dim_Customer, Dim_Stock, Dim_Date</t>
  </si>
  <si>
    <t>SELECT d.Month, st.StockName, SUM(s.ReceiptAmount - s.VATAmount) AS DT
FROM DM_RevenueBySaleLedger s
JOIN Dim_Customer c ON s.AccountObjectCode = c.AccountObjectCode
JOIN Dim_Stock st ON c.StockCode = st.StockCode
JOIN Dim_Date d ON s.PostedDate = d.Date
GROUP BY d.Month, st.StockName</t>
  </si>
  <si>
    <t>Doanh thu theo xí nghiệp</t>
  </si>
  <si>
    <t>DM_RevenueBySaleLedger, Dim_Customer, Dim_Stock</t>
  </si>
  <si>
    <t>SELECT st.StockName, SUM(s.ReceiptAmount - s.VATAmount) AS DT
FROM DM_RevenueBySaleLedger s
JOIN Dim_Customer c ON s.AccountObjectCode = c.AccountObjectCode
JOIN Dim_Stock st ON c.StockCode = st.StockCode
GROUP BY st.StockName</t>
  </si>
  <si>
    <t>Doanh thu chi tiết</t>
  </si>
  <si>
    <t>Chi tiết doanh thu theo mặt hàng</t>
  </si>
  <si>
    <t>Table</t>
  </si>
  <si>
    <t>Dim_Products[InventoryItemName], Measure[Số đơn hàng], Measure[Doanh thu thực tế]</t>
  </si>
  <si>
    <t>DM_RevenueBySaleLedger, Dim_Products</t>
  </si>
  <si>
    <t>SELECT p.InventoryItemName, COUNT(DISTINCT s.InvNo) as SoDon, SUM(s.ReceiptAmount - s.VATAmount) as DT
FROM DM_RevenueBySaleLedger s
JOIN Dim_Products p ON s.InventoryItemCode_New = p.InventoryItemCode_New
GROUP BY p.InventoryItemName</t>
  </si>
  <si>
    <t>Chi tiết doanh thu theo khách hàng</t>
  </si>
  <si>
    <t>Dim_Customer[AccountObjectName], Measure[Doanh thu thực tế]</t>
  </si>
  <si>
    <t>SELECT c.AccountObjectName, SUM(s.ReceiptAmount - s.VATAmount) as DT
FROM DM_RevenueBySaleLedger s
JOIN Dim_Customer c ON s.AccountObjectCode = c.AccountObjectCode
GROUP BY c.AccountObjectName</t>
  </si>
  <si>
    <t>Chi tiết hóa đơn</t>
  </si>
  <si>
    <t>Dim_Customer[AccountObjectName], Dim_Products[InventoryItemName], Measure[Số lượng sản phẩm], Measure[Doanh thu thực tế]</t>
  </si>
  <si>
    <t>DM_RevenueBySaleLedger, Dim_Customer, Dim_Products</t>
  </si>
  <si>
    <t>SELECT c.AccountObjectName, p.InventoryItemName, SUM(s.MainQuantity) as Qty, SUM(s.ReceiptAmount - s.VATAmount) as DT
FROM DM_RevenueBySaleLedger s
JOIN Dim_Customer c ON s.AccountObjectCode = c.AccountObjectCode
JOIN Dim_Products p ON s.InventoryItemCode_New = p.InventoryItemCode_New
GROUP BY c.AccountObjectName, p.InventoryItemName</t>
  </si>
  <si>
    <t>Khớp chi tiết dòng hóa đơn</t>
  </si>
  <si>
    <t>Chi tiết doanh thu theo từng nhóm và sản phẩm</t>
  </si>
  <si>
    <t>Matrix</t>
  </si>
  <si>
    <t>Dim_Stock[StockName], Dim_Customer[Excel_Customer_Category], Measure[Doanh thu thực tế]</t>
  </si>
  <si>
    <t>SELECT st.StockName, c.Excel_Customer_Category, SUM(s.ReceiptAmount - s.VATAmount) as DT
FROM DM_RevenueBySaleLedger s
JOIN Dim_Customer c ON s.AccountObjectCode = c.AccountObjectCode
JOIN Dim_Stock st ON c.StockCode = st.StockCode
GROUP BY st.StockName, c.Excel_Customer_Category</t>
  </si>
  <si>
    <t>Công nợ</t>
  </si>
  <si>
    <t>Số nợ đầu kỳ</t>
  </si>
  <si>
    <t>Measure[Số nợ đầu kỳ], Measure[% Nợ đầu kỳ]</t>
  </si>
  <si>
    <t>DM_AccountObjectDebt</t>
  </si>
  <si>
    <t>Tổng hợp công nợ phải thu (chi tiết theo các khoản giảm trừ)</t>
  </si>
  <si>
    <t>SELECT SUM(OpeningBalance) AS SoNoDauKy
FROM Datamart.DM_AccountObjectDebt</t>
  </si>
  <si>
    <t>Số nợ phát sinh</t>
  </si>
  <si>
    <t>Measure[Số nợ phát sinh], Measure[% Nợ phát sinh]</t>
  </si>
  <si>
    <t>SELECT SUM(PeriodAmount) AS SoNoPhatSinh
FROM Datamart.DM_AccountObjectDebt</t>
  </si>
  <si>
    <t>Số nợ đã được thanh toán</t>
  </si>
  <si>
    <t>Measure[Số nợ đã được thanh toán], Measure[% Nợ đã thanh toán]</t>
  </si>
  <si>
    <t>SELECT SUM(PaidAmount) AS SoNoDaThanhToan
FROM Datamart.DM_AccountObjectDebt</t>
  </si>
  <si>
    <t>Số nợ còn lại</t>
  </si>
  <si>
    <t>Measure[Số nợ còn lại]</t>
  </si>
  <si>
    <t>SELECT SUM(ReceiptableDebtAmount) AS SoNoConLai
FROM Datamart.DM_AccountObjectDebt</t>
  </si>
  <si>
    <t>Công nợ theo từng nhóm khách hàng</t>
  </si>
  <si>
    <t>Dim_Customer[Excel_Customer_Category], Measure[Số tiền đã thanh toán], Measure[Tổng giá trị thanh toán], Measure[Số nợ còn lại]</t>
  </si>
  <si>
    <t>DM_AccountObjectDebt, Dim_Customer</t>
  </si>
  <si>
    <t>Tổng hợp công nợ phải thu</t>
  </si>
  <si>
    <t>SELECT c.Excel_Customer_Category, SUM(d.PaidAmount) as DaTT, SUM(d.ReceiptableDebtAmount) as ConLai
FROM DM_AccountObjectDebt d
JOIN Dim_Customer c ON d.AccountObjectCode = c.AccountObjectCode
GROUP BY c.Excel_Customer_Category</t>
  </si>
  <si>
    <t>Phân tích nợ (Rủi ro nợ)</t>
  </si>
  <si>
    <t>Fact_AnalyticsDebit[Phân loại rủi ro nợ], Measure[Tổng giá trị thanh toán]</t>
  </si>
  <si>
    <t>Fact_AnalyticsDebit</t>
  </si>
  <si>
    <t>Phân tích công nợ phải thu theo tuổi nợ</t>
  </si>
  <si>
    <t>SELECT [Phân loại rủi ro nợ], SUM(DebitAmount) as TongNo
FROM Fact_AnalyticsDebit
GROUP BY [Phân loại rủi ro nợ]</t>
  </si>
  <si>
    <t>Khớp các nhóm nợ</t>
  </si>
  <si>
    <t>Phân tích nợ trước hạn</t>
  </si>
  <si>
    <t>Fact_AnalyticsDebit[DueDays], Measure[Số tiền nợ]</t>
  </si>
  <si>
    <t>SELECT DueInterval, SUM(DebitAmount) as TongNo
FROM Fact_AnalyticsDebit
WHERE DueDays &lt;= 0
GROUP BY DueInterval</t>
  </si>
  <si>
    <t>Phân tích nợ quá hạn</t>
  </si>
  <si>
    <t>SELECT DueInterval, SUM(DebitAmount) as TongNo
FROM Fact_AnalyticsDebit
WHERE DueDays &gt; 0
GROUP BY DueInterval</t>
  </si>
  <si>
    <t>Chi tiết công nợ theo khách hàng</t>
  </si>
  <si>
    <t>Mã KH, Tên KH, Chi nhánh, Số nợ đầu kỳ, Số nợ phát sinh, Số nợ đã được thanh toán, Số nợ còn lại</t>
  </si>
  <si>
    <t>SELECT d.AccountObjectCode, c.AccountObjectName, SUM(d.OpeningBalance) as DK, SUM(d.PeriodAmount) as PS, SUM(d.PaidAmount) as DaTT, SUM(d.ReceiptableDebtAmount) as ConLai
FROM DM_AccountObjectDebt d
JOIN Dim_Customer c ON d.AccountObjectCode = c.AccountObjectCode
GROUP BY d.AccountObjectCode, c.AccountObjectName</t>
  </si>
  <si>
    <t>KPI</t>
  </si>
  <si>
    <t>Kế hoạch sản xuất năm</t>
  </si>
  <si>
    <t>Measure[Kế hoạch sản xuất năm]</t>
  </si>
  <si>
    <t>FACT_KPI_YEAR</t>
  </si>
  <si>
    <t>File A3 KPI</t>
  </si>
  <si>
    <t>SELECT SUM(Production) AS KHSX_Nam
FROM Datamart.FACT_KPI_YEAR
WHERE Year = '2025'</t>
  </si>
  <si>
    <t>Thời gian: Năm 2025</t>
  </si>
  <si>
    <t>% hoàn thành KHSX năm</t>
  </si>
  <si>
    <t>Measure[% hoàn thành KHSX năm]</t>
  </si>
  <si>
    <t>FACT_ACTUALPRODUCTION, FACT_KPI_YEAR</t>
  </si>
  <si>
    <t>Báo cáo sản xuất &amp; File A3 KPI</t>
  </si>
  <si>
    <t>SELECT (SELECT SUM(ProductValue) FROM FACT_ACTUALPRODUCTION WHERE YEAR(Date) = 2025) /
(SELECT SUM(Production) FROM FACT_KPI_YEAR WHERE Year = '2025')</t>
  </si>
  <si>
    <t>Kế hoạch doanh thu năm</t>
  </si>
  <si>
    <t>Measure[Kế hoạch doanh thu năm]</t>
  </si>
  <si>
    <t>SELECT SUM(Amount) AS KHDT_Nam
FROM Datamart.FACT_KPI_YEAR
WHERE Year = '2025'</t>
  </si>
  <si>
    <t>% hoàn thành KHDT năm</t>
  </si>
  <si>
    <t>Measure[% hoàn thành KHDT năm]</t>
  </si>
  <si>
    <t>DM_RevenueBySaleLedger, FACT_KPI_YEAR</t>
  </si>
  <si>
    <t>Sổ bán hàng &amp; File A3 KPI</t>
  </si>
  <si>
    <t>SELECT (SELECT SUM(ReceiptAmount - VATAmount) FROM DM_RevenueBySaleLedger WHERE YEAR(PostedDate) = 2025) /
(SELECT SUM(Amount) FROM FACT_KPI_YEAR WHERE Year = '2025')</t>
  </si>
  <si>
    <t>KPI Doanh thu</t>
  </si>
  <si>
    <t>Measure[KPI Doanh thu]</t>
  </si>
  <si>
    <t>FACT_KPI_MONTH</t>
  </si>
  <si>
    <t>SELECT SUM(Amount) AS KPI_DT
FROM Datamart.FACT_KPI_MONTH
WHERE YEAR(Date) = 2025</t>
  </si>
  <si>
    <t>SELECT SUM(ReceiptAmount) - SUM(VATAmount) AS DT
FROM Datamart.DM_RevenueBySaleLedger
WHERE YEAR(PostedDate) = 2025</t>
  </si>
  <si>
    <t>Tỉ lệ hoàn thành KPI DT</t>
  </si>
  <si>
    <t>Measure[Tỉ lệ hoàn thành KPI DT]</t>
  </si>
  <si>
    <t>DM_RevenueBySaleLedger, FACT_KPI_MONTH</t>
  </si>
  <si>
    <t>SELECT 323891870888.0 / 296363017144.0</t>
  </si>
  <si>
    <t>KPI Giá trị sản xuất</t>
  </si>
  <si>
    <t>Measure[KPI Giá trị sản xuất]</t>
  </si>
  <si>
    <t>SELECT SUM(ProductionValue) AS KPI_GTSX
FROM Datamart.FACT_KPI_MONTH
WHERE YEAR(Date) = 2025</t>
  </si>
  <si>
    <t>Giá trị sản xuất thực tế</t>
  </si>
  <si>
    <t>Measure[Giá trị sản xuất thực tế]</t>
  </si>
  <si>
    <t>FACT_ACTUALPRODUCTION</t>
  </si>
  <si>
    <t>Sổ theo dõi sản xuất</t>
  </si>
  <si>
    <t>SELECT SUM(ProductValue) AS GTSX
FROM Datamart.FACT_ACTUALPRODUCTION
WHERE YEAR(Date) = 2025</t>
  </si>
  <si>
    <t>% Giá trị Sản xuất</t>
  </si>
  <si>
    <t>Measure[% Giá trị Sản xuất]</t>
  </si>
  <si>
    <t>FACT_ACTUALPRODUCTION, FACT_KPI_MONTH</t>
  </si>
  <si>
    <t>Sản xuất thực tế &amp; KPI</t>
  </si>
  <si>
    <t>SELECT 185691373784.0 / 170425390077.0</t>
  </si>
  <si>
    <t>Lũy kế doanh thu</t>
  </si>
  <si>
    <t>Measure[Lũy kế doanh thu]</t>
  </si>
  <si>
    <t>SELECT SUM(ReceiptAmount) - SUM(VATAmount) AS LK_DT
FROM DM_RevenueBySaleLedger
WHERE YEAR(PostedDate) = 2025</t>
  </si>
  <si>
    <t>DT cùng kì năm trước</t>
  </si>
  <si>
    <t>Measure[DT cùng kì năm trước]</t>
  </si>
  <si>
    <t>SELECT SUM(ReceiptAmount) - SUM(VATAmount) AS DT_2024
FROM DM_RevenueBySaleLedger
WHERE YEAR(PostedDate) = 2024</t>
  </si>
  <si>
    <t>%Doanh thu so với cùng kì</t>
  </si>
  <si>
    <t>Measure[%Doanh thu so với cùng kì]</t>
  </si>
  <si>
    <t>SELECT 323891870888.0 / 306292622822.0</t>
  </si>
  <si>
    <t>Lũy kế giá trị sản xuất</t>
  </si>
  <si>
    <t>Measure[Lũy kế giá trị sản xuất]</t>
  </si>
  <si>
    <t>SELECT SUM(ProductValue) AS LK_GTSX
FROM FACT_ACTUALPRODUCTION
WHERE YEAR(Date) = 2025</t>
  </si>
  <si>
    <t>GTSX cùng kì năm trước</t>
  </si>
  <si>
    <t>Measure[GTSX cùng kì năm trước]</t>
  </si>
  <si>
    <t>SELECT SUM(ProductValue) AS GTSX_2024
FROM FACT_ACTUALPRODUCTION
WHERE YEAR(Date) = 2024</t>
  </si>
  <si>
    <t>%GTSX so với cùng kì</t>
  </si>
  <si>
    <t>Measure[%GTSX so với cùng kì]</t>
  </si>
  <si>
    <t>SELECT 185691373784.0 / 159739606844.0</t>
  </si>
  <si>
    <t>Doanh thu và KPI theo tháng</t>
  </si>
  <si>
    <t>Measure[KPI Doanh thu], Measure[Doanh thu thực tế], Measure[Tỉ lệ hoàn thành KPI DT]</t>
  </si>
  <si>
    <t>FACT_KPI_MONTH, DM_RevenueBySaleLedger, Dim_Date</t>
  </si>
  <si>
    <t>KPI Month &amp; Sales</t>
  </si>
  <si>
    <t>SELECT d.Month, SUM(k.Amount) as KPI_DT, SUM(s.ReceiptAmount - s.VATAmount) as DT
FROM Dim_Date d
LEFT JOIN FACT_KPI_MONTH k ON d.Date = k.Date
LEFT JOIN DM_RevenueBySaleLedger s ON d.Date = s.PostedDate
WHERE d.Year = 2025
GROUP BY d.Month
ORDER BY d.Month</t>
  </si>
  <si>
    <t>Doanh thu và KPI theo chi nhánh</t>
  </si>
  <si>
    <t>FACT_KPI_MONTH, DM_RevenueBySaleLedger, Dim_Stock</t>
  </si>
  <si>
    <t>SELECT st.StockName, SUM(k.Amount) as KPI_DT, SUM(s.ReceiptAmount - s.VATAmount) as DT
FROM Dim_Stock st
LEFT JOIN FACT_KPI_MONTH k ON st.StockCode = k.StockCode
LEFT JOIN Dim_Customer c ON st.StockCode = c.StockCode
LEFT JOIN DM_RevenueBySaleLedger s ON c.AccountObjectCode = s.AccountObjectCode
GROUP BY st.StockName</t>
  </si>
  <si>
    <t>Tỉ lệ đóng góp doanh thu theo từng chi nhánh</t>
  </si>
  <si>
    <t>SELECT st.StockName, SUM(s.ReceiptAmount - s.VATAmount) as DT
FROM DM_RevenueBySaleLedger s
JOIN Dim_Customer c ON s.AccountObjectCode = c.AccountObjectCode
JOIN Dim_Stock st ON c.StockCode = st.StockCode
WHERE YEAR(s.PostedDate) = 2025
GROUP BY st.StockName</t>
  </si>
  <si>
    <t>Doanh thu và KPI theo nhóm sản phẩm</t>
  </si>
  <si>
    <t>Measure[KPI Doanh thu sản phẩm], Measure[Doanh thu thực tế]</t>
  </si>
  <si>
    <t>FACT_KPI_BY_PRODUCT, DM_RevenueBySaleLedger, Dim_ProductCategories</t>
  </si>
  <si>
    <t>KPI SP &amp; Sales</t>
  </si>
  <si>
    <t>SELECT cat.CategoryName, SUM(k.Amount) as KPI_DT, SUM(s.ReceiptAmount - s.VATAmount) as DT
FROM Dim_ProductCategories cat
LEFT JOIN FACT_KPI_BY_PRODUCT k ON cat.CategoryName = k.CategoryName AND k.Year = '2025'
GROUP BY cat.CategoryName</t>
  </si>
  <si>
    <t>Tỉ lệ đóng góp doanh thu theo từng nhóm sản phẩm</t>
  </si>
  <si>
    <t>Measure[Doanh thu thực tế], Dim_ProductCategories[CategoryName]</t>
  </si>
  <si>
    <t>DM_RevenueBySaleLedger, Dim_Products, Dim_ProductCategories</t>
  </si>
  <si>
    <t>SELECT cat.CategoryName, SUM(s.ReceiptAmount - s.VATAmount) as DT
FROM DM_RevenueBySaleLedger s
JOIN Dim_Products p ON s.InventoryItemCode_New = p.InventoryItemCode_New
JOIN Dim_ProductCategories cat ON p.Excel_Category_Name = cat.CategoryName
WHERE YEAR(s.PostedDate) = 2025
GROUP BY cat.CategoryName</t>
  </si>
  <si>
    <t>KPI Chi tiết</t>
  </si>
  <si>
    <t>Kế hoạch doanh thu năm cho từng chi nhánh</t>
  </si>
  <si>
    <t>Chi nhánh, Measure[Kế hoạch doanh thu năm], Measure[Kế hoạch sản xuất năm]</t>
  </si>
  <si>
    <t>FACT_KPI_YEAR, Dim_ParentStock</t>
  </si>
  <si>
    <t>SELECT Parent_Stock, SUM(Amount) as KHDT, SUM(Production) as KHSX
FROM FACT_KPI_YEAR
WHERE Year = '2025'
GROUP BY Parent_Stock</t>
  </si>
  <si>
    <t>Kế hoạch doanh thu năm cho từng sản phẩm</t>
  </si>
  <si>
    <t>Nhóm SP, Measure[Kế hoạch SX DVC], Measure[Kế hoạch Tiêu thụ DVC], Measure[KPI Doanh thu sản phẩm]</t>
  </si>
  <si>
    <t>FACT_KPI_BY_PRODUCT</t>
  </si>
  <si>
    <t>SELECT CategoryName, SUM(ProductQuantityDVC) as KHSX, SUM(SaleQuantityDVC) as KHTT, SUM(Amount) as KPI_DT
FROM FACT_KPI_BY_PRODUCT
WHERE Year = '2025'
GROUP BY CategoryName</t>
  </si>
  <si>
    <t>Sức khỏe tài chính theo chi nhánh (Lọc theo tháng)</t>
  </si>
  <si>
    <t>Chi nhánh, KPI sản xuất, KPI Doanh thu, GTSX thực tế, Doanh thu thực tế, %GTSX cùng kỳ, Lũy kế GTSX, Lũy kế DT, % KHSX năm</t>
  </si>
  <si>
    <t>FACT_KPI_MONTH, FACT_ACTUALPRODUCTION, DM_RevenueBySaleLedger</t>
  </si>
  <si>
    <t>KPI Month, Sản xuất &amp; Bán hàng</t>
  </si>
  <si>
    <t>SELECT st.StockName, SUM(k.ProductionValue) as KPISX, SUM(k.Amount) as KPIDT, SUM(p.ProductValue) as GTSX, SUM(s.ReceiptAmount - s.VATAmount) as DT
FROM Dim_Stock st
LEFT JOIN FACT_KPI_MONTH k ON st.StockCode = k.StockCode
LEFT JOIN FACT_ACTUALPRODUCTION p ON st.StockCode = p.FactoryCode
LEFT JOIN Dim_Customer c ON st.StockCode = c.StockCode
LEFT JOIN DM_RevenueBySaleLedger s ON c.AccountObjectCode = s.AccountObjectCode
GROUP BY st.StockName</t>
  </si>
  <si>
    <t>Bảng KPI theo sản phẩm</t>
  </si>
  <si>
    <t>Mã nhóm SP, Kế hoạch SX DVC, SX thực tế DVC, Kế hoạch Tiêu thụ DVC, TT thực tế DVC, KPI Doanh thu sản phẩm, Doanh thu thực tế, % hoàn thành KHTT năm SP</t>
  </si>
  <si>
    <t>FACT_KPI_BY_PRODUCT, FACT_ACTUALPRODUCTION, DM_RevenueBySaleLedger</t>
  </si>
  <si>
    <t>KPI SP, Sản xuất &amp; Bán hàng</t>
  </si>
  <si>
    <t>SELECT cat.CategoryName, SUM(k.ProductQuantityDVC) as KHSX, SUM(p.ProductQuantityDVC) as SX_TT, SUM(k.SaleQuantityDVC) as KHTT, SUM(s.MainQuantity) as TT_TT, SUM(k.Amount) as KPI_DT, SUM(s.ReceiptAmount - s.VATAmount) as DT_TT
FROM Dim_ProductCategories cat
LEFT JOIN FACT_KPI_BY_PRODUCT k ON cat.CategoryName = k.CategoryName AND k.Year = '2025'
LEFT JOIN FACT_ACTUALPRODUCTION p ON cat.CategoryName = p.CategoryName AND YEAR(p.Date) = 2025
GROUP BY cat.CategoryName</t>
  </si>
  <si>
    <t>Báo cáo doanh thu theo loại dịch vụ</t>
  </si>
  <si>
    <t>Kho, KPI Doanh thu DV, Doanh thu thực tế DV, % DT DV so với KH, Lũy kế DT DV, % hoàn thành KHDT DV năm</t>
  </si>
  <si>
    <t>FACT_KPI_MONTH, DM_RevenueBySaleLedger</t>
  </si>
  <si>
    <t>File A3 KPI &amp; Sổ bán hàng</t>
  </si>
  <si>
    <t>SELECT st.StockName, SUM(k.Amount) as KPI_DV, SUM(s.ReceiptAmount - s.VATAmount) as DT_DV
FROM Dim_Stock st
LEFT JOIN FACT_KPI_MONTH k ON st.StockCode = k.StockCode AND k.Indicator = 'DV' AND YEAR(k.Date) = 2025
LEFT JOIN Dim_Customer c ON st.StockCode = c.StockCode
LEFT JOIN DM_RevenueBySaleLedger s ON c.AccountObjectCode = s.AccountObjectCode AND YEAR(s.PostedDate) = 2025
GROUP BY st.StockName</t>
  </si>
  <si>
    <t>Mạnh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</si>
</sst>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sz val="10"/>
      <name val="Arial"/>
    </font>
    <font>
      <b/>
      <sz val="10"/>
      <color rgb="FF00610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51" workbookViewId="0">
      <selection activeCell="I4" sqref="I4"/>
    </sheetView>
  </sheetViews>
  <sheetFormatPr defaultRowHeight="15" x14ac:dyDescent="0.25"/>
  <cols>
    <col min="1" max="1" width="13.7109375" style="3" bestFit="1" customWidth="1"/>
    <col min="2" max="2" width="37.28515625" style="3" bestFit="1" customWidth="1"/>
    <col min="3" max="3" width="14.28515625" style="3" bestFit="1" customWidth="1"/>
    <col min="4" max="4" width="39.85546875" style="3" bestFit="1" customWidth="1"/>
    <col min="5" max="5" width="27" style="3" bestFit="1" customWidth="1"/>
    <col min="6" max="6" width="24.42578125" style="3" bestFit="1" customWidth="1"/>
    <col min="7" max="7" width="45" style="3" customWidth="1"/>
    <col min="8" max="9" width="20.140625" style="3" bestFit="1" customWidth="1"/>
    <col min="10" max="10" width="11" style="3" bestFit="1" customWidth="1"/>
    <col min="11" max="11" width="8.7109375" style="3" bestFit="1" customWidth="1"/>
    <col min="12" max="12" width="5.140625" style="3" bestFit="1" customWidth="1"/>
    <col min="13" max="13" width="26.140625" style="3" bestFit="1" customWidth="1"/>
    <col min="14" max="16384" width="9.140625" style="3"/>
  </cols>
  <sheetData>
    <row r="1" spans="1:13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8.25" x14ac:dyDescent="0.25">
      <c r="A2" s="8" t="s">
        <v>13</v>
      </c>
      <c r="B2" s="2" t="s">
        <v>14</v>
      </c>
      <c r="C2" s="4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5">
        <v>1110940457265</v>
      </c>
      <c r="I2" s="5">
        <v>1110940457265</v>
      </c>
      <c r="J2" s="5">
        <f>H2-I2</f>
        <v>0</v>
      </c>
      <c r="K2" s="4" t="s">
        <v>213</v>
      </c>
      <c r="L2" s="6" t="s">
        <v>20</v>
      </c>
      <c r="M2" s="2" t="s">
        <v>21</v>
      </c>
    </row>
    <row r="3" spans="1:13" ht="25.5" x14ac:dyDescent="0.25">
      <c r="A3" s="9"/>
      <c r="B3" s="2" t="s">
        <v>22</v>
      </c>
      <c r="C3" s="4" t="s">
        <v>15</v>
      </c>
      <c r="D3" s="2" t="s">
        <v>23</v>
      </c>
      <c r="E3" s="2" t="s">
        <v>17</v>
      </c>
      <c r="F3" s="2" t="s">
        <v>18</v>
      </c>
      <c r="G3" s="2" t="s">
        <v>24</v>
      </c>
      <c r="H3" s="5">
        <v>102260497950</v>
      </c>
      <c r="I3" s="5">
        <v>102260497950</v>
      </c>
      <c r="J3" s="5">
        <f>H3-I3</f>
        <v>0</v>
      </c>
      <c r="K3" s="4" t="s">
        <v>213</v>
      </c>
      <c r="L3" s="6" t="s">
        <v>20</v>
      </c>
      <c r="M3" s="2" t="s">
        <v>21</v>
      </c>
    </row>
    <row r="4" spans="1:13" ht="38.25" x14ac:dyDescent="0.25">
      <c r="A4" s="9"/>
      <c r="B4" s="2" t="s">
        <v>25</v>
      </c>
      <c r="C4" s="4" t="s">
        <v>15</v>
      </c>
      <c r="D4" s="2" t="s">
        <v>26</v>
      </c>
      <c r="E4" s="2" t="s">
        <v>17</v>
      </c>
      <c r="F4" s="2" t="s">
        <v>18</v>
      </c>
      <c r="G4" s="2" t="s">
        <v>27</v>
      </c>
      <c r="H4" s="5">
        <v>1213200955215</v>
      </c>
      <c r="I4" s="5">
        <v>1213200955215</v>
      </c>
      <c r="J4" s="5">
        <f>H4-I4</f>
        <v>0</v>
      </c>
      <c r="K4" s="4" t="s">
        <v>213</v>
      </c>
      <c r="L4" s="6" t="s">
        <v>20</v>
      </c>
      <c r="M4" s="2" t="s">
        <v>21</v>
      </c>
    </row>
    <row r="5" spans="1:13" ht="38.25" x14ac:dyDescent="0.25">
      <c r="A5" s="9"/>
      <c r="B5" s="2" t="s">
        <v>28</v>
      </c>
      <c r="C5" s="4" t="s">
        <v>15</v>
      </c>
      <c r="D5" s="2" t="s">
        <v>29</v>
      </c>
      <c r="E5" s="2" t="s">
        <v>17</v>
      </c>
      <c r="F5" s="2" t="s">
        <v>18</v>
      </c>
      <c r="G5" s="2" t="s">
        <v>30</v>
      </c>
      <c r="H5" s="5">
        <v>22895</v>
      </c>
      <c r="I5" s="5">
        <v>22895</v>
      </c>
      <c r="J5" s="5">
        <f>H5-I5</f>
        <v>0</v>
      </c>
      <c r="K5" s="4" t="s">
        <v>213</v>
      </c>
      <c r="L5" s="6" t="s">
        <v>20</v>
      </c>
      <c r="M5" s="2" t="s">
        <v>21</v>
      </c>
    </row>
    <row r="6" spans="1:13" ht="38.25" x14ac:dyDescent="0.25">
      <c r="A6" s="9"/>
      <c r="B6" s="2" t="s">
        <v>31</v>
      </c>
      <c r="C6" s="4" t="s">
        <v>15</v>
      </c>
      <c r="D6" s="2" t="s">
        <v>32</v>
      </c>
      <c r="E6" s="2" t="s">
        <v>17</v>
      </c>
      <c r="F6" s="2" t="s">
        <v>18</v>
      </c>
      <c r="G6" s="2" t="s">
        <v>33</v>
      </c>
      <c r="H6" s="5">
        <v>48523278</v>
      </c>
      <c r="I6" s="5">
        <v>48523278</v>
      </c>
      <c r="J6" s="5">
        <f>H6-I6</f>
        <v>0</v>
      </c>
      <c r="K6" s="4" t="s">
        <v>213</v>
      </c>
      <c r="L6" s="6" t="s">
        <v>20</v>
      </c>
      <c r="M6" s="2" t="s">
        <v>21</v>
      </c>
    </row>
    <row r="7" spans="1:13" ht="89.25" x14ac:dyDescent="0.25">
      <c r="A7" s="9"/>
      <c r="B7" s="2" t="s">
        <v>34</v>
      </c>
      <c r="C7" s="4" t="s">
        <v>35</v>
      </c>
      <c r="D7" s="2" t="s">
        <v>36</v>
      </c>
      <c r="E7" s="2" t="s">
        <v>37</v>
      </c>
      <c r="F7" s="2" t="s">
        <v>18</v>
      </c>
      <c r="G7" s="2" t="s">
        <v>38</v>
      </c>
      <c r="H7" s="4" t="s">
        <v>39</v>
      </c>
      <c r="I7" s="4" t="s">
        <v>39</v>
      </c>
      <c r="J7" s="4">
        <v>0</v>
      </c>
      <c r="K7" s="4" t="s">
        <v>213</v>
      </c>
      <c r="L7" s="6" t="s">
        <v>20</v>
      </c>
      <c r="M7" s="2" t="s">
        <v>21</v>
      </c>
    </row>
    <row r="8" spans="1:13" ht="114.75" x14ac:dyDescent="0.25">
      <c r="A8" s="9"/>
      <c r="B8" s="2" t="s">
        <v>40</v>
      </c>
      <c r="C8" s="4" t="s">
        <v>35</v>
      </c>
      <c r="D8" s="2" t="s">
        <v>41</v>
      </c>
      <c r="E8" s="2" t="s">
        <v>42</v>
      </c>
      <c r="F8" s="2" t="s">
        <v>18</v>
      </c>
      <c r="G8" s="2" t="s">
        <v>43</v>
      </c>
      <c r="H8" s="4" t="s">
        <v>39</v>
      </c>
      <c r="I8" s="4" t="s">
        <v>39</v>
      </c>
      <c r="J8" s="4">
        <v>0</v>
      </c>
      <c r="K8" s="4" t="s">
        <v>213</v>
      </c>
      <c r="L8" s="6" t="s">
        <v>20</v>
      </c>
      <c r="M8" s="2" t="s">
        <v>21</v>
      </c>
    </row>
    <row r="9" spans="1:13" ht="89.25" x14ac:dyDescent="0.25">
      <c r="A9" s="9"/>
      <c r="B9" s="2" t="s">
        <v>44</v>
      </c>
      <c r="C9" s="4" t="s">
        <v>35</v>
      </c>
      <c r="D9" s="2" t="s">
        <v>45</v>
      </c>
      <c r="E9" s="2" t="s">
        <v>46</v>
      </c>
      <c r="F9" s="2" t="s">
        <v>18</v>
      </c>
      <c r="G9" s="2" t="s">
        <v>47</v>
      </c>
      <c r="H9" s="4" t="s">
        <v>39</v>
      </c>
      <c r="I9" s="4" t="s">
        <v>39</v>
      </c>
      <c r="J9" s="4">
        <v>0</v>
      </c>
      <c r="K9" s="4" t="s">
        <v>213</v>
      </c>
      <c r="L9" s="6" t="s">
        <v>20</v>
      </c>
      <c r="M9" s="2" t="s">
        <v>21</v>
      </c>
    </row>
    <row r="10" spans="1:13" ht="76.5" x14ac:dyDescent="0.25">
      <c r="A10" s="9"/>
      <c r="B10" s="2" t="s">
        <v>48</v>
      </c>
      <c r="C10" s="4" t="s">
        <v>35</v>
      </c>
      <c r="D10" s="2" t="s">
        <v>45</v>
      </c>
      <c r="E10" s="2" t="s">
        <v>49</v>
      </c>
      <c r="F10" s="2" t="s">
        <v>18</v>
      </c>
      <c r="G10" s="2" t="s">
        <v>50</v>
      </c>
      <c r="H10" s="4" t="s">
        <v>39</v>
      </c>
      <c r="I10" s="4" t="s">
        <v>39</v>
      </c>
      <c r="J10" s="4">
        <v>0</v>
      </c>
      <c r="K10" s="4" t="s">
        <v>213</v>
      </c>
      <c r="L10" s="6" t="s">
        <v>20</v>
      </c>
      <c r="M10" s="2" t="s">
        <v>21</v>
      </c>
    </row>
    <row r="11" spans="1:13" ht="114.75" x14ac:dyDescent="0.25">
      <c r="A11" s="9"/>
      <c r="B11" s="2" t="s">
        <v>51</v>
      </c>
      <c r="C11" s="4" t="s">
        <v>35</v>
      </c>
      <c r="D11" s="2" t="s">
        <v>52</v>
      </c>
      <c r="E11" s="2" t="s">
        <v>53</v>
      </c>
      <c r="F11" s="2" t="s">
        <v>18</v>
      </c>
      <c r="G11" s="2" t="s">
        <v>54</v>
      </c>
      <c r="H11" s="4" t="s">
        <v>39</v>
      </c>
      <c r="I11" s="4" t="s">
        <v>39</v>
      </c>
      <c r="J11" s="4">
        <v>0</v>
      </c>
      <c r="K11" s="4" t="s">
        <v>213</v>
      </c>
      <c r="L11" s="6" t="s">
        <v>20</v>
      </c>
      <c r="M11" s="2" t="s">
        <v>21</v>
      </c>
    </row>
    <row r="12" spans="1:13" ht="102" x14ac:dyDescent="0.25">
      <c r="A12" s="10"/>
      <c r="B12" s="2" t="s">
        <v>55</v>
      </c>
      <c r="C12" s="4" t="s">
        <v>35</v>
      </c>
      <c r="D12" s="2" t="s">
        <v>52</v>
      </c>
      <c r="E12" s="2" t="s">
        <v>56</v>
      </c>
      <c r="F12" s="2" t="s">
        <v>18</v>
      </c>
      <c r="G12" s="2" t="s">
        <v>57</v>
      </c>
      <c r="H12" s="4" t="s">
        <v>39</v>
      </c>
      <c r="I12" s="4" t="s">
        <v>39</v>
      </c>
      <c r="J12" s="4">
        <v>0</v>
      </c>
      <c r="K12" s="4" t="s">
        <v>213</v>
      </c>
      <c r="L12" s="6" t="s">
        <v>20</v>
      </c>
      <c r="M12" s="2" t="s">
        <v>21</v>
      </c>
    </row>
    <row r="13" spans="1:13" ht="102" x14ac:dyDescent="0.25">
      <c r="A13" s="8" t="s">
        <v>58</v>
      </c>
      <c r="B13" s="2" t="s">
        <v>59</v>
      </c>
      <c r="C13" s="4" t="s">
        <v>60</v>
      </c>
      <c r="D13" s="2" t="s">
        <v>61</v>
      </c>
      <c r="E13" s="2" t="s">
        <v>62</v>
      </c>
      <c r="F13" s="2" t="s">
        <v>18</v>
      </c>
      <c r="G13" s="2" t="s">
        <v>63</v>
      </c>
      <c r="H13" s="5">
        <v>1110940457265</v>
      </c>
      <c r="I13" s="5">
        <v>1110940457265</v>
      </c>
      <c r="J13" s="5">
        <f>H13-I13</f>
        <v>0</v>
      </c>
      <c r="K13" s="4" t="s">
        <v>213</v>
      </c>
      <c r="L13" s="6" t="s">
        <v>20</v>
      </c>
      <c r="M13" s="2" t="s">
        <v>21</v>
      </c>
    </row>
    <row r="14" spans="1:13" ht="76.5" x14ac:dyDescent="0.25">
      <c r="A14" s="9"/>
      <c r="B14" s="2" t="s">
        <v>64</v>
      </c>
      <c r="C14" s="4" t="s">
        <v>60</v>
      </c>
      <c r="D14" s="2" t="s">
        <v>65</v>
      </c>
      <c r="E14" s="2" t="s">
        <v>49</v>
      </c>
      <c r="F14" s="2" t="s">
        <v>18</v>
      </c>
      <c r="G14" s="2" t="s">
        <v>66</v>
      </c>
      <c r="H14" s="5">
        <v>1110940457265</v>
      </c>
      <c r="I14" s="5">
        <v>1110940457265</v>
      </c>
      <c r="J14" s="5">
        <f>H14-I14</f>
        <v>0</v>
      </c>
      <c r="K14" s="4" t="s">
        <v>213</v>
      </c>
      <c r="L14" s="6" t="s">
        <v>20</v>
      </c>
      <c r="M14" s="2" t="s">
        <v>21</v>
      </c>
    </row>
    <row r="15" spans="1:13" ht="140.25" x14ac:dyDescent="0.25">
      <c r="A15" s="9"/>
      <c r="B15" s="2" t="s">
        <v>67</v>
      </c>
      <c r="C15" s="4" t="s">
        <v>60</v>
      </c>
      <c r="D15" s="2" t="s">
        <v>68</v>
      </c>
      <c r="E15" s="2" t="s">
        <v>69</v>
      </c>
      <c r="F15" s="2" t="s">
        <v>18</v>
      </c>
      <c r="G15" s="2" t="s">
        <v>70</v>
      </c>
      <c r="H15" s="4" t="s">
        <v>71</v>
      </c>
      <c r="I15" s="4" t="s">
        <v>71</v>
      </c>
      <c r="J15" s="4">
        <v>0</v>
      </c>
      <c r="K15" s="4" t="s">
        <v>213</v>
      </c>
      <c r="L15" s="6" t="s">
        <v>20</v>
      </c>
      <c r="M15" s="2" t="s">
        <v>21</v>
      </c>
    </row>
    <row r="16" spans="1:13" ht="127.5" x14ac:dyDescent="0.25">
      <c r="A16" s="10"/>
      <c r="B16" s="2" t="s">
        <v>72</v>
      </c>
      <c r="C16" s="4" t="s">
        <v>73</v>
      </c>
      <c r="D16" s="2" t="s">
        <v>74</v>
      </c>
      <c r="E16" s="2" t="s">
        <v>56</v>
      </c>
      <c r="F16" s="2" t="s">
        <v>18</v>
      </c>
      <c r="G16" s="2" t="s">
        <v>75</v>
      </c>
      <c r="H16" s="5">
        <v>10539801735</v>
      </c>
      <c r="I16" s="5">
        <v>10539801735</v>
      </c>
      <c r="J16" s="5">
        <f>H16-I16</f>
        <v>0</v>
      </c>
      <c r="K16" s="4" t="s">
        <v>213</v>
      </c>
      <c r="L16" s="6" t="s">
        <v>20</v>
      </c>
      <c r="M16" s="2" t="s">
        <v>21</v>
      </c>
    </row>
    <row r="17" spans="1:13" ht="38.25" x14ac:dyDescent="0.25">
      <c r="A17" s="8" t="s">
        <v>76</v>
      </c>
      <c r="B17" s="2" t="s">
        <v>77</v>
      </c>
      <c r="C17" s="4" t="s">
        <v>15</v>
      </c>
      <c r="D17" s="2" t="s">
        <v>78</v>
      </c>
      <c r="E17" s="2" t="s">
        <v>79</v>
      </c>
      <c r="F17" s="2" t="s">
        <v>80</v>
      </c>
      <c r="G17" s="2" t="s">
        <v>81</v>
      </c>
      <c r="H17" s="5">
        <v>668515511446</v>
      </c>
      <c r="I17" s="5">
        <v>668515511446</v>
      </c>
      <c r="J17" s="5">
        <f>H17-I17</f>
        <v>0</v>
      </c>
      <c r="K17" s="4" t="s">
        <v>213</v>
      </c>
      <c r="L17" s="6" t="s">
        <v>20</v>
      </c>
      <c r="M17" s="2" t="s">
        <v>21</v>
      </c>
    </row>
    <row r="18" spans="1:13" ht="38.25" x14ac:dyDescent="0.25">
      <c r="A18" s="9"/>
      <c r="B18" s="2" t="s">
        <v>82</v>
      </c>
      <c r="C18" s="4" t="s">
        <v>15</v>
      </c>
      <c r="D18" s="2" t="s">
        <v>83</v>
      </c>
      <c r="E18" s="2" t="s">
        <v>79</v>
      </c>
      <c r="F18" s="2" t="s">
        <v>80</v>
      </c>
      <c r="G18" s="2" t="s">
        <v>84</v>
      </c>
      <c r="H18" s="5">
        <v>70567608564</v>
      </c>
      <c r="I18" s="5">
        <v>70567608564</v>
      </c>
      <c r="J18" s="5">
        <f>H18-I18</f>
        <v>0</v>
      </c>
      <c r="K18" s="4" t="s">
        <v>213</v>
      </c>
      <c r="L18" s="6" t="s">
        <v>20</v>
      </c>
      <c r="M18" s="2" t="s">
        <v>21</v>
      </c>
    </row>
    <row r="19" spans="1:13" ht="38.25" x14ac:dyDescent="0.25">
      <c r="A19" s="9"/>
      <c r="B19" s="2" t="s">
        <v>85</v>
      </c>
      <c r="C19" s="4" t="s">
        <v>15</v>
      </c>
      <c r="D19" s="2" t="s">
        <v>86</v>
      </c>
      <c r="E19" s="2" t="s">
        <v>79</v>
      </c>
      <c r="F19" s="2" t="s">
        <v>80</v>
      </c>
      <c r="G19" s="2" t="s">
        <v>87</v>
      </c>
      <c r="H19" s="5">
        <v>70214015296</v>
      </c>
      <c r="I19" s="5">
        <v>70214015296</v>
      </c>
      <c r="J19" s="5">
        <f>H19-I19</f>
        <v>0</v>
      </c>
      <c r="K19" s="4" t="s">
        <v>213</v>
      </c>
      <c r="L19" s="6" t="s">
        <v>20</v>
      </c>
      <c r="M19" s="2" t="s">
        <v>21</v>
      </c>
    </row>
    <row r="20" spans="1:13" ht="38.25" x14ac:dyDescent="0.25">
      <c r="A20" s="9"/>
      <c r="B20" s="2" t="s">
        <v>88</v>
      </c>
      <c r="C20" s="4" t="s">
        <v>15</v>
      </c>
      <c r="D20" s="2" t="s">
        <v>89</v>
      </c>
      <c r="E20" s="2" t="s">
        <v>79</v>
      </c>
      <c r="F20" s="2" t="s">
        <v>80</v>
      </c>
      <c r="G20" s="2" t="s">
        <v>90</v>
      </c>
      <c r="H20" s="5">
        <v>668607107276</v>
      </c>
      <c r="I20" s="5">
        <v>668607107276</v>
      </c>
      <c r="J20" s="5">
        <f>H20-I20</f>
        <v>0</v>
      </c>
      <c r="K20" s="4" t="s">
        <v>213</v>
      </c>
      <c r="L20" s="6" t="s">
        <v>20</v>
      </c>
      <c r="M20" s="2" t="s">
        <v>21</v>
      </c>
    </row>
    <row r="21" spans="1:13" ht="89.25" x14ac:dyDescent="0.25">
      <c r="A21" s="9"/>
      <c r="B21" s="2" t="s">
        <v>91</v>
      </c>
      <c r="C21" s="4" t="s">
        <v>35</v>
      </c>
      <c r="D21" s="2" t="s">
        <v>92</v>
      </c>
      <c r="E21" s="2" t="s">
        <v>93</v>
      </c>
      <c r="F21" s="2" t="s">
        <v>94</v>
      </c>
      <c r="G21" s="2" t="s">
        <v>95</v>
      </c>
      <c r="H21" s="4" t="s">
        <v>39</v>
      </c>
      <c r="I21" s="4" t="s">
        <v>39</v>
      </c>
      <c r="J21" s="4">
        <v>0</v>
      </c>
      <c r="K21" s="4" t="s">
        <v>213</v>
      </c>
      <c r="L21" s="6" t="s">
        <v>20</v>
      </c>
      <c r="M21" s="2" t="s">
        <v>21</v>
      </c>
    </row>
    <row r="22" spans="1:13" ht="51" x14ac:dyDescent="0.25">
      <c r="A22" s="9"/>
      <c r="B22" s="2" t="s">
        <v>96</v>
      </c>
      <c r="C22" s="4" t="s">
        <v>35</v>
      </c>
      <c r="D22" s="2" t="s">
        <v>97</v>
      </c>
      <c r="E22" s="2" t="s">
        <v>98</v>
      </c>
      <c r="F22" s="2" t="s">
        <v>99</v>
      </c>
      <c r="G22" s="2" t="s">
        <v>100</v>
      </c>
      <c r="H22" s="4" t="s">
        <v>101</v>
      </c>
      <c r="I22" s="4" t="s">
        <v>101</v>
      </c>
      <c r="J22" s="4">
        <v>0</v>
      </c>
      <c r="K22" s="4" t="s">
        <v>213</v>
      </c>
      <c r="L22" s="6" t="s">
        <v>20</v>
      </c>
      <c r="M22" s="2" t="s">
        <v>21</v>
      </c>
    </row>
    <row r="23" spans="1:13" ht="63.75" x14ac:dyDescent="0.25">
      <c r="A23" s="9"/>
      <c r="B23" s="2" t="s">
        <v>102</v>
      </c>
      <c r="C23" s="4" t="s">
        <v>35</v>
      </c>
      <c r="D23" s="2" t="s">
        <v>103</v>
      </c>
      <c r="E23" s="2" t="s">
        <v>98</v>
      </c>
      <c r="F23" s="2" t="s">
        <v>99</v>
      </c>
      <c r="G23" s="2" t="s">
        <v>104</v>
      </c>
      <c r="H23" s="4" t="s">
        <v>39</v>
      </c>
      <c r="I23" s="4" t="s">
        <v>39</v>
      </c>
      <c r="J23" s="4">
        <v>0</v>
      </c>
      <c r="K23" s="4" t="s">
        <v>213</v>
      </c>
      <c r="L23" s="6" t="s">
        <v>20</v>
      </c>
      <c r="M23" s="2" t="s">
        <v>21</v>
      </c>
    </row>
    <row r="24" spans="1:13" ht="63.75" x14ac:dyDescent="0.25">
      <c r="A24" s="9"/>
      <c r="B24" s="2" t="s">
        <v>105</v>
      </c>
      <c r="C24" s="4" t="s">
        <v>35</v>
      </c>
      <c r="D24" s="2" t="s">
        <v>103</v>
      </c>
      <c r="E24" s="2" t="s">
        <v>98</v>
      </c>
      <c r="F24" s="2" t="s">
        <v>99</v>
      </c>
      <c r="G24" s="2" t="s">
        <v>106</v>
      </c>
      <c r="H24" s="4" t="s">
        <v>39</v>
      </c>
      <c r="I24" s="4" t="s">
        <v>39</v>
      </c>
      <c r="J24" s="4">
        <v>0</v>
      </c>
      <c r="K24" s="4" t="s">
        <v>213</v>
      </c>
      <c r="L24" s="6" t="s">
        <v>20</v>
      </c>
      <c r="M24" s="2" t="s">
        <v>21</v>
      </c>
    </row>
    <row r="25" spans="1:13" ht="127.5" x14ac:dyDescent="0.25">
      <c r="A25" s="10"/>
      <c r="B25" s="2" t="s">
        <v>107</v>
      </c>
      <c r="C25" s="4" t="s">
        <v>60</v>
      </c>
      <c r="D25" s="2" t="s">
        <v>108</v>
      </c>
      <c r="E25" s="2" t="s">
        <v>93</v>
      </c>
      <c r="F25" s="2" t="s">
        <v>94</v>
      </c>
      <c r="G25" s="2" t="s">
        <v>109</v>
      </c>
      <c r="H25" s="5">
        <v>668607107276</v>
      </c>
      <c r="I25" s="5">
        <v>668607107276</v>
      </c>
      <c r="J25" s="5">
        <f t="shared" ref="J25:J41" si="0">H25-I25</f>
        <v>0</v>
      </c>
      <c r="K25" s="4" t="s">
        <v>213</v>
      </c>
      <c r="L25" s="6" t="s">
        <v>20</v>
      </c>
      <c r="M25" s="2" t="s">
        <v>21</v>
      </c>
    </row>
    <row r="26" spans="1:13" ht="38.25" x14ac:dyDescent="0.25">
      <c r="A26" s="8" t="s">
        <v>110</v>
      </c>
      <c r="B26" s="2" t="s">
        <v>111</v>
      </c>
      <c r="C26" s="4" t="s">
        <v>15</v>
      </c>
      <c r="D26" s="2" t="s">
        <v>112</v>
      </c>
      <c r="E26" s="2" t="s">
        <v>113</v>
      </c>
      <c r="F26" s="2" t="s">
        <v>114</v>
      </c>
      <c r="G26" s="2" t="s">
        <v>115</v>
      </c>
      <c r="H26" s="5">
        <v>165961298026</v>
      </c>
      <c r="I26" s="5">
        <v>165961298026</v>
      </c>
      <c r="J26" s="5">
        <f t="shared" si="0"/>
        <v>0</v>
      </c>
      <c r="K26" s="4" t="s">
        <v>213</v>
      </c>
      <c r="L26" s="6" t="s">
        <v>20</v>
      </c>
      <c r="M26" s="2" t="s">
        <v>116</v>
      </c>
    </row>
    <row r="27" spans="1:13" ht="63.75" x14ac:dyDescent="0.25">
      <c r="A27" s="9"/>
      <c r="B27" s="2" t="s">
        <v>117</v>
      </c>
      <c r="C27" s="4" t="s">
        <v>15</v>
      </c>
      <c r="D27" s="2" t="s">
        <v>118</v>
      </c>
      <c r="E27" s="2" t="s">
        <v>119</v>
      </c>
      <c r="F27" s="2" t="s">
        <v>120</v>
      </c>
      <c r="G27" s="2" t="s">
        <v>121</v>
      </c>
      <c r="H27" s="7">
        <v>1.1189</v>
      </c>
      <c r="I27" s="7">
        <v>1.1189</v>
      </c>
      <c r="J27" s="7">
        <f t="shared" si="0"/>
        <v>0</v>
      </c>
      <c r="K27" s="4" t="s">
        <v>213</v>
      </c>
      <c r="L27" s="6" t="s">
        <v>20</v>
      </c>
      <c r="M27" s="2" t="s">
        <v>116</v>
      </c>
    </row>
    <row r="28" spans="1:13" ht="38.25" x14ac:dyDescent="0.25">
      <c r="A28" s="9"/>
      <c r="B28" s="2" t="s">
        <v>122</v>
      </c>
      <c r="C28" s="4" t="s">
        <v>15</v>
      </c>
      <c r="D28" s="2" t="s">
        <v>123</v>
      </c>
      <c r="E28" s="2" t="s">
        <v>113</v>
      </c>
      <c r="F28" s="2" t="s">
        <v>114</v>
      </c>
      <c r="G28" s="2" t="s">
        <v>124</v>
      </c>
      <c r="H28" s="5">
        <v>244868212991</v>
      </c>
      <c r="I28" s="5">
        <v>244868212991</v>
      </c>
      <c r="J28" s="5">
        <f t="shared" si="0"/>
        <v>0</v>
      </c>
      <c r="K28" s="4" t="s">
        <v>213</v>
      </c>
      <c r="L28" s="6" t="s">
        <v>20</v>
      </c>
      <c r="M28" s="2" t="s">
        <v>116</v>
      </c>
    </row>
    <row r="29" spans="1:13" ht="63.75" x14ac:dyDescent="0.25">
      <c r="A29" s="9"/>
      <c r="B29" s="2" t="s">
        <v>125</v>
      </c>
      <c r="C29" s="4" t="s">
        <v>15</v>
      </c>
      <c r="D29" s="2" t="s">
        <v>126</v>
      </c>
      <c r="E29" s="2" t="s">
        <v>127</v>
      </c>
      <c r="F29" s="2" t="s">
        <v>128</v>
      </c>
      <c r="G29" s="2" t="s">
        <v>129</v>
      </c>
      <c r="H29" s="7">
        <v>1.3227</v>
      </c>
      <c r="I29" s="7">
        <v>1.3227</v>
      </c>
      <c r="J29" s="7">
        <f t="shared" si="0"/>
        <v>0</v>
      </c>
      <c r="K29" s="4" t="s">
        <v>213</v>
      </c>
      <c r="L29" s="6" t="s">
        <v>20</v>
      </c>
      <c r="M29" s="2" t="s">
        <v>116</v>
      </c>
    </row>
    <row r="30" spans="1:13" ht="38.25" x14ac:dyDescent="0.25">
      <c r="A30" s="9"/>
      <c r="B30" s="2" t="s">
        <v>130</v>
      </c>
      <c r="C30" s="4" t="s">
        <v>15</v>
      </c>
      <c r="D30" s="2" t="s">
        <v>131</v>
      </c>
      <c r="E30" s="2" t="s">
        <v>132</v>
      </c>
      <c r="F30" s="2" t="s">
        <v>114</v>
      </c>
      <c r="G30" s="2" t="s">
        <v>133</v>
      </c>
      <c r="H30" s="5">
        <v>296363017144</v>
      </c>
      <c r="I30" s="5">
        <v>296363017144</v>
      </c>
      <c r="J30" s="5">
        <f t="shared" si="0"/>
        <v>0</v>
      </c>
      <c r="K30" s="4" t="s">
        <v>213</v>
      </c>
      <c r="L30" s="6" t="s">
        <v>20</v>
      </c>
      <c r="M30" s="2" t="s">
        <v>116</v>
      </c>
    </row>
    <row r="31" spans="1:13" ht="51" x14ac:dyDescent="0.25">
      <c r="A31" s="9"/>
      <c r="B31" s="2" t="s">
        <v>14</v>
      </c>
      <c r="C31" s="4" t="s">
        <v>15</v>
      </c>
      <c r="D31" s="2" t="s">
        <v>16</v>
      </c>
      <c r="E31" s="2" t="s">
        <v>17</v>
      </c>
      <c r="F31" s="2" t="s">
        <v>18</v>
      </c>
      <c r="G31" s="2" t="s">
        <v>134</v>
      </c>
      <c r="H31" s="5">
        <v>323891870888</v>
      </c>
      <c r="I31" s="5">
        <v>323891870888</v>
      </c>
      <c r="J31" s="5">
        <f t="shared" si="0"/>
        <v>0</v>
      </c>
      <c r="K31" s="4" t="s">
        <v>213</v>
      </c>
      <c r="L31" s="6" t="s">
        <v>20</v>
      </c>
      <c r="M31" s="2" t="s">
        <v>116</v>
      </c>
    </row>
    <row r="32" spans="1:13" ht="25.5" x14ac:dyDescent="0.25">
      <c r="A32" s="9"/>
      <c r="B32" s="2" t="s">
        <v>135</v>
      </c>
      <c r="C32" s="4" t="s">
        <v>15</v>
      </c>
      <c r="D32" s="2" t="s">
        <v>136</v>
      </c>
      <c r="E32" s="2" t="s">
        <v>137</v>
      </c>
      <c r="F32" s="2" t="s">
        <v>128</v>
      </c>
      <c r="G32" s="2" t="s">
        <v>138</v>
      </c>
      <c r="H32" s="7">
        <v>1.0929</v>
      </c>
      <c r="I32" s="7">
        <v>1.0929</v>
      </c>
      <c r="J32" s="7">
        <f t="shared" si="0"/>
        <v>0</v>
      </c>
      <c r="K32" s="4" t="s">
        <v>213</v>
      </c>
      <c r="L32" s="6" t="s">
        <v>20</v>
      </c>
      <c r="M32" s="2" t="s">
        <v>116</v>
      </c>
    </row>
    <row r="33" spans="1:13" ht="38.25" x14ac:dyDescent="0.25">
      <c r="A33" s="9"/>
      <c r="B33" s="2" t="s">
        <v>139</v>
      </c>
      <c r="C33" s="4" t="s">
        <v>15</v>
      </c>
      <c r="D33" s="2" t="s">
        <v>140</v>
      </c>
      <c r="E33" s="2" t="s">
        <v>132</v>
      </c>
      <c r="F33" s="2" t="s">
        <v>114</v>
      </c>
      <c r="G33" s="2" t="s">
        <v>141</v>
      </c>
      <c r="H33" s="5">
        <v>170425390077</v>
      </c>
      <c r="I33" s="5">
        <v>170425390077</v>
      </c>
      <c r="J33" s="5">
        <f t="shared" si="0"/>
        <v>0</v>
      </c>
      <c r="K33" s="4" t="s">
        <v>213</v>
      </c>
      <c r="L33" s="6" t="s">
        <v>20</v>
      </c>
      <c r="M33" s="2" t="s">
        <v>116</v>
      </c>
    </row>
    <row r="34" spans="1:13" ht="38.25" x14ac:dyDescent="0.25">
      <c r="A34" s="9"/>
      <c r="B34" s="2" t="s">
        <v>142</v>
      </c>
      <c r="C34" s="4" t="s">
        <v>15</v>
      </c>
      <c r="D34" s="2" t="s">
        <v>143</v>
      </c>
      <c r="E34" s="2" t="s">
        <v>144</v>
      </c>
      <c r="F34" s="2" t="s">
        <v>145</v>
      </c>
      <c r="G34" s="2" t="s">
        <v>146</v>
      </c>
      <c r="H34" s="5">
        <v>185691373784</v>
      </c>
      <c r="I34" s="5">
        <v>185691373784</v>
      </c>
      <c r="J34" s="5">
        <f t="shared" si="0"/>
        <v>0</v>
      </c>
      <c r="K34" s="4" t="s">
        <v>213</v>
      </c>
      <c r="L34" s="6" t="s">
        <v>20</v>
      </c>
      <c r="M34" s="2" t="s">
        <v>116</v>
      </c>
    </row>
    <row r="35" spans="1:13" ht="25.5" x14ac:dyDescent="0.25">
      <c r="A35" s="9"/>
      <c r="B35" s="2" t="s">
        <v>147</v>
      </c>
      <c r="C35" s="4" t="s">
        <v>15</v>
      </c>
      <c r="D35" s="2" t="s">
        <v>148</v>
      </c>
      <c r="E35" s="2" t="s">
        <v>149</v>
      </c>
      <c r="F35" s="2" t="s">
        <v>150</v>
      </c>
      <c r="G35" s="2" t="s">
        <v>151</v>
      </c>
      <c r="H35" s="7">
        <v>1.0895999999999999</v>
      </c>
      <c r="I35" s="7">
        <v>1.0895999999999999</v>
      </c>
      <c r="J35" s="7">
        <f t="shared" si="0"/>
        <v>0</v>
      </c>
      <c r="K35" s="4" t="s">
        <v>213</v>
      </c>
      <c r="L35" s="6" t="s">
        <v>20</v>
      </c>
      <c r="M35" s="2" t="s">
        <v>116</v>
      </c>
    </row>
    <row r="36" spans="1:13" ht="51" x14ac:dyDescent="0.25">
      <c r="A36" s="9"/>
      <c r="B36" s="2" t="s">
        <v>152</v>
      </c>
      <c r="C36" s="4" t="s">
        <v>15</v>
      </c>
      <c r="D36" s="2" t="s">
        <v>153</v>
      </c>
      <c r="E36" s="2" t="s">
        <v>17</v>
      </c>
      <c r="F36" s="2" t="s">
        <v>18</v>
      </c>
      <c r="G36" s="2" t="s">
        <v>154</v>
      </c>
      <c r="H36" s="5">
        <v>323891870888</v>
      </c>
      <c r="I36" s="5">
        <v>323891870888</v>
      </c>
      <c r="J36" s="5">
        <f t="shared" si="0"/>
        <v>0</v>
      </c>
      <c r="K36" s="4" t="s">
        <v>213</v>
      </c>
      <c r="L36" s="6" t="s">
        <v>20</v>
      </c>
      <c r="M36" s="2" t="s">
        <v>116</v>
      </c>
    </row>
    <row r="37" spans="1:13" ht="51" x14ac:dyDescent="0.25">
      <c r="A37" s="9"/>
      <c r="B37" s="2" t="s">
        <v>155</v>
      </c>
      <c r="C37" s="4" t="s">
        <v>15</v>
      </c>
      <c r="D37" s="2" t="s">
        <v>156</v>
      </c>
      <c r="E37" s="2" t="s">
        <v>17</v>
      </c>
      <c r="F37" s="2" t="s">
        <v>18</v>
      </c>
      <c r="G37" s="2" t="s">
        <v>157</v>
      </c>
      <c r="H37" s="5">
        <v>306292622822</v>
      </c>
      <c r="I37" s="5">
        <v>306292622822</v>
      </c>
      <c r="J37" s="5">
        <f t="shared" si="0"/>
        <v>0</v>
      </c>
      <c r="K37" s="4" t="s">
        <v>213</v>
      </c>
      <c r="L37" s="6" t="s">
        <v>20</v>
      </c>
      <c r="M37" s="2" t="s">
        <v>116</v>
      </c>
    </row>
    <row r="38" spans="1:13" x14ac:dyDescent="0.25">
      <c r="A38" s="9"/>
      <c r="B38" s="2" t="s">
        <v>158</v>
      </c>
      <c r="C38" s="4" t="s">
        <v>15</v>
      </c>
      <c r="D38" s="2" t="s">
        <v>159</v>
      </c>
      <c r="E38" s="2" t="s">
        <v>17</v>
      </c>
      <c r="F38" s="2" t="s">
        <v>18</v>
      </c>
      <c r="G38" s="2" t="s">
        <v>160</v>
      </c>
      <c r="H38" s="7">
        <v>1.0575000000000001</v>
      </c>
      <c r="I38" s="7">
        <v>1.0575000000000001</v>
      </c>
      <c r="J38" s="7">
        <f t="shared" si="0"/>
        <v>0</v>
      </c>
      <c r="K38" s="4" t="s">
        <v>213</v>
      </c>
      <c r="L38" s="6" t="s">
        <v>20</v>
      </c>
      <c r="M38" s="2" t="s">
        <v>116</v>
      </c>
    </row>
    <row r="39" spans="1:13" ht="38.25" x14ac:dyDescent="0.25">
      <c r="A39" s="9"/>
      <c r="B39" s="2" t="s">
        <v>161</v>
      </c>
      <c r="C39" s="4" t="s">
        <v>15</v>
      </c>
      <c r="D39" s="2" t="s">
        <v>162</v>
      </c>
      <c r="E39" s="2" t="s">
        <v>144</v>
      </c>
      <c r="F39" s="2" t="s">
        <v>145</v>
      </c>
      <c r="G39" s="2" t="s">
        <v>163</v>
      </c>
      <c r="H39" s="5">
        <v>185691373784</v>
      </c>
      <c r="I39" s="5">
        <v>185691373784</v>
      </c>
      <c r="J39" s="5">
        <f t="shared" si="0"/>
        <v>0</v>
      </c>
      <c r="K39" s="4" t="s">
        <v>213</v>
      </c>
      <c r="L39" s="6" t="s">
        <v>20</v>
      </c>
      <c r="M39" s="2" t="s">
        <v>116</v>
      </c>
    </row>
    <row r="40" spans="1:13" ht="38.25" x14ac:dyDescent="0.25">
      <c r="A40" s="9"/>
      <c r="B40" s="2" t="s">
        <v>164</v>
      </c>
      <c r="C40" s="4" t="s">
        <v>15</v>
      </c>
      <c r="D40" s="2" t="s">
        <v>165</v>
      </c>
      <c r="E40" s="2" t="s">
        <v>144</v>
      </c>
      <c r="F40" s="2" t="s">
        <v>145</v>
      </c>
      <c r="G40" s="2" t="s">
        <v>166</v>
      </c>
      <c r="H40" s="5">
        <v>159739606844</v>
      </c>
      <c r="I40" s="5">
        <v>159739606844</v>
      </c>
      <c r="J40" s="5">
        <f t="shared" si="0"/>
        <v>0</v>
      </c>
      <c r="K40" s="4" t="s">
        <v>213</v>
      </c>
      <c r="L40" s="6" t="s">
        <v>20</v>
      </c>
      <c r="M40" s="2" t="s">
        <v>116</v>
      </c>
    </row>
    <row r="41" spans="1:13" x14ac:dyDescent="0.25">
      <c r="A41" s="9"/>
      <c r="B41" s="2" t="s">
        <v>167</v>
      </c>
      <c r="C41" s="4" t="s">
        <v>15</v>
      </c>
      <c r="D41" s="2" t="s">
        <v>168</v>
      </c>
      <c r="E41" s="2" t="s">
        <v>144</v>
      </c>
      <c r="F41" s="2" t="s">
        <v>145</v>
      </c>
      <c r="G41" s="2" t="s">
        <v>169</v>
      </c>
      <c r="H41" s="7">
        <v>1.1625000000000001</v>
      </c>
      <c r="I41" s="7">
        <v>1.1625000000000001</v>
      </c>
      <c r="J41" s="7">
        <f t="shared" si="0"/>
        <v>0</v>
      </c>
      <c r="K41" s="4" t="s">
        <v>213</v>
      </c>
      <c r="L41" s="6" t="s">
        <v>20</v>
      </c>
      <c r="M41" s="2" t="s">
        <v>116</v>
      </c>
    </row>
    <row r="42" spans="1:13" ht="127.5" x14ac:dyDescent="0.25">
      <c r="A42" s="9"/>
      <c r="B42" s="2" t="s">
        <v>170</v>
      </c>
      <c r="C42" s="4" t="s">
        <v>35</v>
      </c>
      <c r="D42" s="2" t="s">
        <v>171</v>
      </c>
      <c r="E42" s="2" t="s">
        <v>172</v>
      </c>
      <c r="F42" s="2" t="s">
        <v>173</v>
      </c>
      <c r="G42" s="2" t="s">
        <v>174</v>
      </c>
      <c r="H42" s="4" t="s">
        <v>39</v>
      </c>
      <c r="I42" s="4" t="s">
        <v>39</v>
      </c>
      <c r="J42" s="4">
        <v>0</v>
      </c>
      <c r="K42" s="4" t="s">
        <v>213</v>
      </c>
      <c r="L42" s="6" t="s">
        <v>20</v>
      </c>
      <c r="M42" s="2" t="s">
        <v>116</v>
      </c>
    </row>
    <row r="43" spans="1:13" ht="140.25" x14ac:dyDescent="0.25">
      <c r="A43" s="9"/>
      <c r="B43" s="2" t="s">
        <v>175</v>
      </c>
      <c r="C43" s="4" t="s">
        <v>35</v>
      </c>
      <c r="D43" s="2" t="s">
        <v>171</v>
      </c>
      <c r="E43" s="2" t="s">
        <v>176</v>
      </c>
      <c r="F43" s="2" t="s">
        <v>173</v>
      </c>
      <c r="G43" s="2" t="s">
        <v>177</v>
      </c>
      <c r="H43" s="4" t="s">
        <v>39</v>
      </c>
      <c r="I43" s="4" t="s">
        <v>39</v>
      </c>
      <c r="J43" s="4">
        <v>0</v>
      </c>
      <c r="K43" s="4" t="s">
        <v>213</v>
      </c>
      <c r="L43" s="6" t="s">
        <v>20</v>
      </c>
      <c r="M43" s="2" t="s">
        <v>116</v>
      </c>
    </row>
    <row r="44" spans="1:13" ht="114.75" x14ac:dyDescent="0.25">
      <c r="A44" s="9"/>
      <c r="B44" s="2" t="s">
        <v>178</v>
      </c>
      <c r="C44" s="4" t="s">
        <v>35</v>
      </c>
      <c r="D44" s="2" t="s">
        <v>52</v>
      </c>
      <c r="E44" s="2" t="s">
        <v>56</v>
      </c>
      <c r="F44" s="2" t="s">
        <v>18</v>
      </c>
      <c r="G44" s="2" t="s">
        <v>179</v>
      </c>
      <c r="H44" s="4" t="s">
        <v>39</v>
      </c>
      <c r="I44" s="4" t="s">
        <v>39</v>
      </c>
      <c r="J44" s="4">
        <v>0</v>
      </c>
      <c r="K44" s="4" t="s">
        <v>213</v>
      </c>
      <c r="L44" s="6" t="s">
        <v>20</v>
      </c>
      <c r="M44" s="2" t="s">
        <v>116</v>
      </c>
    </row>
    <row r="45" spans="1:13" ht="102" x14ac:dyDescent="0.25">
      <c r="A45" s="9"/>
      <c r="B45" s="2" t="s">
        <v>180</v>
      </c>
      <c r="C45" s="4" t="s">
        <v>35</v>
      </c>
      <c r="D45" s="2" t="s">
        <v>181</v>
      </c>
      <c r="E45" s="2" t="s">
        <v>182</v>
      </c>
      <c r="F45" s="2" t="s">
        <v>183</v>
      </c>
      <c r="G45" s="2" t="s">
        <v>184</v>
      </c>
      <c r="H45" s="4" t="s">
        <v>39</v>
      </c>
      <c r="I45" s="4" t="s">
        <v>39</v>
      </c>
      <c r="J45" s="4">
        <v>0</v>
      </c>
      <c r="K45" s="4" t="s">
        <v>213</v>
      </c>
      <c r="L45" s="6" t="s">
        <v>20</v>
      </c>
      <c r="M45" s="2" t="s">
        <v>116</v>
      </c>
    </row>
    <row r="46" spans="1:13" ht="127.5" x14ac:dyDescent="0.25">
      <c r="A46" s="10"/>
      <c r="B46" s="2" t="s">
        <v>185</v>
      </c>
      <c r="C46" s="4" t="s">
        <v>35</v>
      </c>
      <c r="D46" s="2" t="s">
        <v>186</v>
      </c>
      <c r="E46" s="2" t="s">
        <v>187</v>
      </c>
      <c r="F46" s="2" t="s">
        <v>18</v>
      </c>
      <c r="G46" s="2" t="s">
        <v>188</v>
      </c>
      <c r="H46" s="4" t="s">
        <v>39</v>
      </c>
      <c r="I46" s="4" t="s">
        <v>39</v>
      </c>
      <c r="J46" s="4">
        <v>0</v>
      </c>
      <c r="K46" s="4" t="s">
        <v>213</v>
      </c>
      <c r="L46" s="6" t="s">
        <v>20</v>
      </c>
      <c r="M46" s="2" t="s">
        <v>116</v>
      </c>
    </row>
    <row r="47" spans="1:13" ht="63.75" x14ac:dyDescent="0.25">
      <c r="A47" s="8" t="s">
        <v>189</v>
      </c>
      <c r="B47" s="2" t="s">
        <v>190</v>
      </c>
      <c r="C47" s="4" t="s">
        <v>60</v>
      </c>
      <c r="D47" s="2" t="s">
        <v>191</v>
      </c>
      <c r="E47" s="2" t="s">
        <v>192</v>
      </c>
      <c r="F47" s="2" t="s">
        <v>114</v>
      </c>
      <c r="G47" s="2" t="s">
        <v>193</v>
      </c>
      <c r="H47" s="5">
        <v>244868212991</v>
      </c>
      <c r="I47" s="5">
        <v>244868212991</v>
      </c>
      <c r="J47" s="5">
        <f>H47-I47</f>
        <v>0</v>
      </c>
      <c r="K47" s="4" t="s">
        <v>213</v>
      </c>
      <c r="L47" s="6" t="s">
        <v>20</v>
      </c>
      <c r="M47" s="2" t="s">
        <v>116</v>
      </c>
    </row>
    <row r="48" spans="1:13" ht="89.25" x14ac:dyDescent="0.25">
      <c r="A48" s="9"/>
      <c r="B48" s="2" t="s">
        <v>194</v>
      </c>
      <c r="C48" s="4" t="s">
        <v>60</v>
      </c>
      <c r="D48" s="2" t="s">
        <v>195</v>
      </c>
      <c r="E48" s="2" t="s">
        <v>196</v>
      </c>
      <c r="F48" s="2" t="s">
        <v>114</v>
      </c>
      <c r="G48" s="2" t="s">
        <v>197</v>
      </c>
      <c r="H48" s="5">
        <v>547881643189</v>
      </c>
      <c r="I48" s="5">
        <v>547881643189</v>
      </c>
      <c r="J48" s="5">
        <f>H48-I48</f>
        <v>0</v>
      </c>
      <c r="K48" s="4" t="s">
        <v>213</v>
      </c>
      <c r="L48" s="6" t="s">
        <v>20</v>
      </c>
      <c r="M48" s="2" t="s">
        <v>116</v>
      </c>
    </row>
    <row r="49" spans="1:13" ht="178.5" x14ac:dyDescent="0.25">
      <c r="A49" s="9"/>
      <c r="B49" s="2" t="s">
        <v>198</v>
      </c>
      <c r="C49" s="4" t="s">
        <v>60</v>
      </c>
      <c r="D49" s="2" t="s">
        <v>199</v>
      </c>
      <c r="E49" s="2" t="s">
        <v>200</v>
      </c>
      <c r="F49" s="2" t="s">
        <v>201</v>
      </c>
      <c r="G49" s="2" t="s">
        <v>202</v>
      </c>
      <c r="H49" s="5">
        <v>323891870888</v>
      </c>
      <c r="I49" s="5">
        <v>323891870888</v>
      </c>
      <c r="J49" s="5">
        <f>H49-I49</f>
        <v>0</v>
      </c>
      <c r="K49" s="4" t="s">
        <v>213</v>
      </c>
      <c r="L49" s="6" t="s">
        <v>20</v>
      </c>
      <c r="M49" s="2" t="s">
        <v>116</v>
      </c>
    </row>
    <row r="50" spans="1:13" ht="191.25" x14ac:dyDescent="0.25">
      <c r="A50" s="9"/>
      <c r="B50" s="2" t="s">
        <v>203</v>
      </c>
      <c r="C50" s="4" t="s">
        <v>60</v>
      </c>
      <c r="D50" s="2" t="s">
        <v>204</v>
      </c>
      <c r="E50" s="2" t="s">
        <v>205</v>
      </c>
      <c r="F50" s="2" t="s">
        <v>206</v>
      </c>
      <c r="G50" s="2" t="s">
        <v>207</v>
      </c>
      <c r="H50" s="5">
        <v>547881643189</v>
      </c>
      <c r="I50" s="5">
        <v>547881643189</v>
      </c>
      <c r="J50" s="5">
        <f>H50-I50</f>
        <v>0</v>
      </c>
      <c r="K50" s="4" t="s">
        <v>213</v>
      </c>
      <c r="L50" s="6" t="s">
        <v>20</v>
      </c>
      <c r="M50" s="2" t="s">
        <v>116</v>
      </c>
    </row>
    <row r="51" spans="1:13" ht="165.75" x14ac:dyDescent="0.25">
      <c r="A51" s="10"/>
      <c r="B51" s="2" t="s">
        <v>208</v>
      </c>
      <c r="C51" s="4" t="s">
        <v>60</v>
      </c>
      <c r="D51" s="2" t="s">
        <v>209</v>
      </c>
      <c r="E51" s="2" t="s">
        <v>210</v>
      </c>
      <c r="F51" s="2" t="s">
        <v>211</v>
      </c>
      <c r="G51" s="2" t="s">
        <v>212</v>
      </c>
      <c r="H51" s="5">
        <v>9353156008</v>
      </c>
      <c r="I51" s="5">
        <v>9353156008</v>
      </c>
      <c r="J51" s="5">
        <f>H51-I51</f>
        <v>0</v>
      </c>
      <c r="K51" s="4" t="s">
        <v>213</v>
      </c>
      <c r="L51" s="6" t="s">
        <v>20</v>
      </c>
      <c r="M51" s="2" t="s">
        <v>116</v>
      </c>
    </row>
  </sheetData>
  <mergeCells count="5">
    <mergeCell ref="A13:A16"/>
    <mergeCell ref="A26:A46"/>
    <mergeCell ref="A17:A25"/>
    <mergeCell ref="A2:A12"/>
    <mergeCell ref="A47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Nguyễn Duy</cp:lastModifiedBy>
  <dcterms:created xsi:type="dcterms:W3CDTF">2026-10-04T04:30:23Z</dcterms:created>
  <dcterms:modified xsi:type="dcterms:W3CDTF">2026-10-06T08:00:36Z</dcterms:modified>
</cp:coreProperties>
</file>