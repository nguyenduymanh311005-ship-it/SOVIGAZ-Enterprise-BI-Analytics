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THỰC TẬP [2024-205]\"/>
    </mc:Choice>
  </mc:AlternateContent>
  <xr:revisionPtr revIDLastSave="0" documentId="13_ncr:1_{7C18BE7F-BB31-4F26-9249-1360E143D3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C tuân thủ-A0007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 l="1"/>
</calcChain>
</file>

<file path=xl/sharedStrings.xml><?xml version="1.0" encoding="utf-8"?>
<sst xmlns="http://schemas.openxmlformats.org/spreadsheetml/2006/main" count="162" uniqueCount="110">
  <si>
    <t>Round 1</t>
  </si>
  <si>
    <t>Testcase</t>
  </si>
  <si>
    <t>Passed</t>
  </si>
  <si>
    <t>Failed</t>
  </si>
  <si>
    <t>Pending</t>
  </si>
  <si>
    <t>N/A</t>
  </si>
  <si>
    <t>Name</t>
  </si>
  <si>
    <t>Báo cáo dư nợ tín dụng đối với các tổ chức không phải tổ chức tín dụng hoạt động tại Việt Nam - A00074</t>
  </si>
  <si>
    <t>Test case Id</t>
  </si>
  <si>
    <t>Tên Test case (I)</t>
  </si>
  <si>
    <t>Tên Test case (II)</t>
  </si>
  <si>
    <t>Mô tả Test case</t>
  </si>
  <si>
    <t>Kết quả mong đợi</t>
  </si>
  <si>
    <t>Kết quả thực tế</t>
  </si>
  <si>
    <t>Có dữ liệu?</t>
  </si>
  <si>
    <t>Trạng thái</t>
  </si>
  <si>
    <t>Ngày thực hiện</t>
  </si>
  <si>
    <t>Người thực hiện</t>
  </si>
  <si>
    <t>Ghi chú</t>
  </si>
  <si>
    <t>Kiểm tra thông tin chung của báo cáo</t>
  </si>
  <si>
    <t>Tên file bên hiển thị bên ngoài</t>
  </si>
  <si>
    <t>1. Truy cập vào báo cáo A00074
 2. Quan sát các trường thông tin chung:
 3. Kiểm tra trường tên file</t>
  </si>
  <si>
    <t>Tên file bên trong hiển thị chính xác và khớp với tên file bên ngoài excel: "A00074-56341001-01341003-202509-SI-M-01.xlsx"</t>
  </si>
  <si>
    <t>Pass</t>
  </si>
  <si>
    <t>Mã đơn vị gửi báo cáo</t>
  </si>
  <si>
    <t>1. Truy cập vào báo cáo A00074
 2. Quan sát các trường thông tin chung:
 3.Mã đơn vị gửi báo cáo</t>
  </si>
  <si>
    <t>Mã ngân hàng truyền NHNN: "01341003"</t>
  </si>
  <si>
    <t>Mã đơn vị phát sinh dữ liệu</t>
  </si>
  <si>
    <t>Mã chi nhánh truyền NHNN: "56341001"</t>
  </si>
  <si>
    <t>Ngày dữ liệu</t>
  </si>
  <si>
    <t>1. Truy cập vào báo cáo A00074
 2. Quan sát các trường thông tin chung:
 3.Ngày dữ liệu</t>
  </si>
  <si>
    <t>1. Ngày dữ liệu: "202509"</t>
  </si>
  <si>
    <t>Tên/Số điện thoại người kiểm duyệt báo cáo</t>
  </si>
  <si>
    <t>1. Truy cập vào báo cáo A00074
 2. Quan sát các trường thông tin chung:
 3. Kiểm tra trường Tên/Số điện thoại người kiểm duyệt báo cáo</t>
  </si>
  <si>
    <t>Tên/Số điện thoại người kiểm duyệt báo cáo: đúng định dạng quốc tế với số điện thoại, tên viết hoa chữ cái đầu không dấu: "PGBANK"</t>
  </si>
  <si>
    <t>ID người kiểm duyệt báo cáo</t>
  </si>
  <si>
    <t>1. Truy cập vào báo cáo A00074
 2. Quan sát các trường thông tin chung:
 3. Kiểm tra trường ID người kiểm duyệt báo cáo</t>
  </si>
  <si>
    <t>ID người kiểm duyệt báo cáo: "NVA"</t>
  </si>
  <si>
    <t>Ngắn hạn</t>
  </si>
  <si>
    <t>TD_1</t>
  </si>
  <si>
    <t>Dư nợ tín dụng (không bao gồm mua, đầu tư trái phiếu doanh nghiệp)</t>
  </si>
  <si>
    <t>1.1. Bằng VND</t>
  </si>
  <si>
    <t>có</t>
  </si>
  <si>
    <t>1.2. Bằng ngoại tệ</t>
  </si>
  <si>
    <t xml:space="preserve">Hiện dư nợ tín dụng ngắn hạn bằng ngoại tệ có kết quả giống sao kê
- Sao kê - Toàn ngành:
</t>
  </si>
  <si>
    <t xml:space="preserve">Hiện dư nợ tín dụng ngắn hạn bằng ngoại tệ có kế quả giống sao kê
- Báo cáo - Toàn ngành:
</t>
  </si>
  <si>
    <t>= null</t>
  </si>
  <si>
    <t>1.3. Tổng</t>
  </si>
  <si>
    <t>= 1.1 + 1.2</t>
  </si>
  <si>
    <t>Hệ thống tự tính bằng tổng dư nợ tín dụng ngắn hạn bằng VND và bằng ngoại tệ</t>
  </si>
  <si>
    <t xml:space="preserve">Báo cáo toàn ngành:
</t>
  </si>
  <si>
    <t>Mua, đầu tư trái phiếu doanh nghiệp (không bao gồm trái phiếu VAMC)</t>
  </si>
  <si>
    <t>1.4. Bằng VND</t>
  </si>
  <si>
    <t xml:space="preserve">Hiện doanh số Mua, đầu tư trái phiếu doanh nghiệp ngắn hạn bằng VND có kết quả giống sao kê
- Sao kê - toàn ngành:
</t>
  </si>
  <si>
    <t xml:space="preserve">Hiện doanh số Mua, đầu tư trái phiếu doanh nghiệp ngắn hạn bằng VND có kết quả giống sao kê
- Báo cáo - Toàn ngành:
</t>
  </si>
  <si>
    <t>1.5. Bằng ngoại tệ</t>
  </si>
  <si>
    <t xml:space="preserve">Hiện doanh số Mua, đầu tư trái phiếu doanh nghiệp ngắn hạn bằng ngoại tệ có kết quả giống sao kê
- Sao kê - toàn ngành:
</t>
  </si>
  <si>
    <t xml:space="preserve">Hiện doanh số Mua, đầu tư trái phiếu doanh nghiệp ngắn hạn bằng ngoại tệ có kết quả giống sao kê
- Báo cáo - Toàn ngành:
</t>
  </si>
  <si>
    <t>1.6. Tổng</t>
  </si>
  <si>
    <t>= 1.4 + 1.5</t>
  </si>
  <si>
    <t>Hệ thống tự động tính = 1.4 + 1.5</t>
  </si>
  <si>
    <t xml:space="preserve">Báo cáo:
</t>
  </si>
  <si>
    <t>Trung và dài hạn</t>
  </si>
  <si>
    <t>2.1. Bằng VND</t>
  </si>
  <si>
    <t xml:space="preserve">Hiện dư nợ tín dụng trung và dài hạn bằng VND có kết quả giống sao kê
- Sao kê - Toàn ngành:
</t>
  </si>
  <si>
    <t xml:space="preserve">Hiện dư nợ tín dụng trung và dài hạn bằng VND có kết quả giống sao kê
- Báo cáo - Toàn ngành:
</t>
  </si>
  <si>
    <t>2.2. Bằng ngoại tệ</t>
  </si>
  <si>
    <t xml:space="preserve">Hiện dư nợ tín dụng trung và dài hạn hạn bằng ngoại tệ có kết quả giống sao kê
- Sao kê - Toàn ngành:
</t>
  </si>
  <si>
    <t xml:space="preserve">Hiện dư nợ tín dụng trung và dài hạn hạn bằng ngoại tệ có kết quả giống sao kê
- Báo cáo - Toàn ngành:
</t>
  </si>
  <si>
    <t>2.3. Tổng</t>
  </si>
  <si>
    <t>= 2.1 + 2.2</t>
  </si>
  <si>
    <t>Hệ thống tự động tính = 2.1 + 2.2</t>
  </si>
  <si>
    <t>null</t>
  </si>
  <si>
    <t>2.4. Bằng VND</t>
  </si>
  <si>
    <t xml:space="preserve">Hiện doanh số Mua, đầu tư trái phiếu doanh nghiệp trung và dài hạn bằng VND có kết quả giống sao kê
- Sao kê - toàn ngành:
</t>
  </si>
  <si>
    <t xml:space="preserve">Hiện doanh số Mua, đầu tư trái phiếu doanh nghiệp trung và dài hạn bằng VND có kết quả giống sao kê
- Báo cáo - Toàn ngành:
</t>
  </si>
  <si>
    <t>2.5. Bằng ngoại tệ</t>
  </si>
  <si>
    <t xml:space="preserve">Hiện doanh số Mua, đầu tư trái phiếu doanh nghiệp trung và dài hạn bằng ngoại tệ có kết quả giống sao kê
- Sao kê - toàn ngành:
</t>
  </si>
  <si>
    <t xml:space="preserve">Hiện doanh số Mua, đầu tư trái phiếu doanh nghiệp trung và dài hạn bằng ngoại tệ có kết quả giống sao kê
- Báo cáo - Toàn ngành:
</t>
  </si>
  <si>
    <t>2.6. Tổng</t>
  </si>
  <si>
    <t>= 2.4 + 2.5</t>
  </si>
  <si>
    <t>Hệ thống tự động tính = 2.4 + 2.5</t>
  </si>
  <si>
    <t>Tổng dư nợ cuối kỳ</t>
  </si>
  <si>
    <t>3.1. Bằng VND</t>
  </si>
  <si>
    <t>= 1.1 + 2.1</t>
  </si>
  <si>
    <t>Hệ thống tự động tính = 1.1 + 2.1</t>
  </si>
  <si>
    <t>3.2. Bằng ngoại tệ</t>
  </si>
  <si>
    <t>= 1.2 + 2.2</t>
  </si>
  <si>
    <t>Hệ thống tự động tính = 1.2 + 2.2</t>
  </si>
  <si>
    <t>3.3. Tổng</t>
  </si>
  <si>
    <t>= 1.3 + 2.3</t>
  </si>
  <si>
    <t>Hệ thống tự động tính = 1.3 + 2.3</t>
  </si>
  <si>
    <t>3.4. Bằng VND</t>
  </si>
  <si>
    <t>= 1.4 + 2.4</t>
  </si>
  <si>
    <t>Hệ thống tự động tính = 1.4 + 2.4</t>
  </si>
  <si>
    <t>3.5. Bằng ngoại tệ</t>
  </si>
  <si>
    <t>= 1.5 + 2.5</t>
  </si>
  <si>
    <t>Hệ thống tự động tính = 1.5 + 2.5</t>
  </si>
  <si>
    <t>3.6. Tổng</t>
  </si>
  <si>
    <t>= 1.6 + 2.6</t>
  </si>
  <si>
    <t>Hệ thống tự động tính = 1.6 + 2.6</t>
  </si>
  <si>
    <t>SELECT 
    round(SUM((t.AMOUNT_CUR + t.OVERDUE_PR_AMOUNT)/1e6),2) du_no_1 
FROM PGB_SMY.SAOKE_TINDUNG t 
INNER JOIN PGB_FLEXBO.PGB_LOS_CONTRACT_FIELDS_TDATE l
    ON l.CONTRACT_REF_NO = t.LD_ID
INNER JOIN PGB_T24CORE.CUSTOMER c 
    ON t.CUSTOMER = c.RECID 
WHERE c.FIRST_NAME IS NOT NULL 
    AND C.FIRST_NAME NOT IN (10,11) 
    AND c.KHOI &lt;&gt; 'INDIV' 
    AND t.txn_date = l.mov_date 
    AND t.txn_date = to_date('2025-09-05', 'yyyy-mm-dd') 
    AND c.KHOI IS NOT NULL AND t.CURRENCY = 'VND' 
    AND l.LOAI_CHUNG_KHOAN &lt;&gt; 'TRAI PHIEU DN' 
    AND t.LOC_TERM &lt;= 12;</t>
  </si>
  <si>
    <t>SELECT 
    sum(round(t.amount_cur * PGB_FLEXBO.FNC_GD_NT_CN_GET_RATE(currency, to_char(txn_date, 'yyyymmdd'),'ALL','MID_RATE')   + t.OVERDUE_PR_AMOUNT * PGB_FLEXBO.FNC_GD_NT_CN_GET_RATE(currency, to_char(txn_date, 'yyyymmdd'),'ALL','MID_RATE')/1e6, 2)) AS du_no_2
FROM PGB_SMY.SAOKE_TINDUNG t 
INNER JOIN PGB_FLEXBO.PGB_LOS_CONTRACT_FIELDS_TDATE l
ON l.CONTRACT_REF_NO = t.LD_ID 
INNER JOIN PGB_T24CORE.CUSTOMER c 
ON t.CUSTOMER = c.RECID 
WHERE c.FIRST_NAME IS NOT NULL 
    AND C.FIRST_NAME NOT IN (10,11) 
    AND c.KHOI &lt;&gt; 'INDIV'  
    AND t.txn_date = l.mov_date 
    AND t.txn_date = to_date ('2025-09-05', 'yyyy-mm-dd') 
    AND c.KHOI IS NOT NULL AND t.CURRENCY &lt;&gt; 'VND' 
    AND l.LOAI_CHUNG_KHOAN &lt;&gt; 'TRAI PHIEU DN' 
    AND t.LOC_TERM &lt;= 12;</t>
  </si>
  <si>
    <t>SELECT round(SUM((t.AMOUNT_CUR + t.OVERDUE_PR_AMOUNT)/1e6),2) du_no_1 
FROM PGB_SMY.SAOKE_TINDUNG t 
INNER JOIN PGB_FLEXBO.PGB_LOS_CONTRACT_FIELDS_TDATE l 
ON l.CONTRACT_REF_NO = t.LD_ID
INNER JOIN PGB_T24CORE.CUSTOMER c 
ON t.CUSTOMER = c.RECID 
WHERE c.FIRST_NAME IS NOT NULL 
AND C.FIRST_NAME NOT IN (10,11) 
AND c.KHOI &lt;&gt; 'INDIV' 
AND t.txn_date = l.mov_date 
AND t.txn_date = to_date('2025-09-05', 'yyyy-mm-dd') 
AND c.KHOI IS NOT NULL 
AND t.CURRENCY = 'VND' 
AND l.LOAI_CHUNG_KHOAN = 'TRAI PHIEU DN'
AND t.LOC_TERM &lt;= 12;</t>
  </si>
  <si>
    <t>SELECT round(SUM((t.AMOUNT_CUR + t.OVERDUE_PR_AMOUNT)/1e6),2) du_no_2 
FROM PGB_SMY.SAOKE_TINDUNG t 
INNER JOIN PGB_FLEXBO.PGB_LOS_CONTRACT_FIELDS_TDATE l 
ON l.CONTRACT_REF_NO = t.LD_ID
INNER JOIN PGB_T24CORE.CUSTOMER c 
ON t.CUSTOMER = c.RECID 
WHERE c.FIRST_NAME IS NOT NULL 
AND C.FIRST_NAME NOT IN (10,11) AND c.KHOI &lt;&gt; 'INDIV'  
AND t.txn_date = l.mov_date AND t.txn_date = to_date ('2025-09-05', 'yyyy-mm-dd') 
AND c.KHOI IS NOT NULL 
AND t.CURRENCY &lt;&gt; 'VND' 
AND l.LOAI_CHUNG_KHOAN = 'TRAI PHIEU DN' 
AND t.LOC_TERM &lt;= 12;</t>
  </si>
  <si>
    <t>SELECT 
    round(SUM((t.AMOUNT_CUR + t.OVERDUE_PR_AMOUNT)/1e6),2) du_no_1 
FROM PGB_SMY.SAOKE_TINDUNG t 
INNER JOIN PGB_FLEXBO.PGB_LOS_CONTRACT_FIELDS_TDATE l
    ON l.CONTRACT_REF_NO = t.LD_ID
INNER JOIN PGB_T24CORE.CUSTOMER c 
    ON t.CUSTOMER = c.RECID 
WHERE c.FIRST_NAME IS NOT NULL 
    AND C.FIRST_NAME NOT IN (10,11) 
    AND c.KHOI &lt;&gt; 'INDIV' 
    AND t.txn_date = l.mov_date 
    AND t.txn_date = to_date('2025-09-05', 'yyyy-mm-dd') 
    AND c.KHOI IS NOT NULL AND t.CURRENCY = 'VND' 
    AND l.LOAI_CHUNG_KHOAN &lt;&gt; 'TRAI PHIEU DN' 
    AND t.LOC_TERM &gt;12;</t>
  </si>
  <si>
    <t>SELECT 
    sum(round(t.amount_cur * PGB_FLEXBO.FNC_GD_NT_CN_GET_RATE(currency, to_char(txn_date, 'yyyymmdd'),'ALL','MID_RATE')   + t.OVERDUE_PR_AMOUNT * PGB_FLEXBO.FNC_GD_NT_CN_GET_RATE(currency, to_char(txn_date, 'yyyymmdd'),'ALL','MID_RATE')/1e6, 2)) AS du_no_2
FROM PGB_SMY.SAOKE_TINDUNG t 
INNER JOIN PGB_FLEXBO.PGB_LOS_CONTRACT_FIELDS_TDATE l
ON l.CONTRACT_REF_NO = t.LD_ID 
INNER JOIN PGB_T24CORE.CUSTOMER c 
ON t.CUSTOMER = c.RECID 
WHERE c.FIRST_NAME IS NOT NULL 
    AND C.FIRST_NAME NOT IN (10,11) 
    AND c.KHOI &lt;&gt; 'INDIV'  
    AND t.txn_date = l.mov_date 
    AND t.txn_date = to_date ('2025-09-05', 'yyyy-mm-dd') 
    AND c.KHOI IS NOT NULL AND t.CURRENCY &lt;&gt; 'VND' 
    AND l.LOAI_CHUNG_KHOAN &lt;&gt; 'TRAI PHIEU DN' 
    AND t.LOC_TERM &gt; 12;</t>
  </si>
  <si>
    <t>SELECT round(SUM((t.AMOUNT_CUR + t.OVERDUE_PR_AMOUNT)/1e6),2) du_no_1 
FROM PGB_SMY.SAOKE_TINDUNG t 
INNER JOIN PGB_FLEXBO.PGB_LOS_CONTRACT_FIELDS_TDATE l 
ON l.CONTRACT_REF_NO = t.LD_ID
INNER JOIN PGB_T24CORE.CUSTOMER c 
ON t.CUSTOMER = c.RECID 
WHERE c.FIRST_NAME IS NOT NULL 
AND C.FIRST_NAME NOT IN (10,11) 
AND c.KHOI &lt;&gt; 'INDIV' 
AND t.txn_date = l.mov_date 
AND t.txn_date = to_date('2025-09-05', 'yyyy-mm-dd') 
AND c.KHOI IS NOT NULL 
AND t.CURRENCY = 'VND' 
AND l.LOAI_CHUNG_KHOAN = 'TRAI PHIEU DN'
AND t.LOC_TERM &gt; 12;</t>
  </si>
  <si>
    <t>select
sum(round(t.amount_cur * PGB_FLEXBO.FNC_GD_NT_CN_GET_RATE(currency, to_char(txn_date, 'yyyymmdd'),'ALL','MID_RATE')   + t.OVERDUE_PR_AMOUNT * PGB_FLEXBO.FNC_GD_NT_CN_GET_RATE(currency, to_char(txn_date, 'yyyymmdd'),'ALL','MID_RATE')/1e6, 2)) AS du_no_2
FROM PGB_SMY.SAOKE_TINDUNG t 
INNER JOIN PGB_FLEXBO.PGB_LOS_CONTRACT_FIELDS_TDATE l 
ON l.CONTRACT_REF_NO = t.LD_ID
INNER JOIN PGB_T24CORE.CUSTOMER c 
ON t.CUSTOMER = c.RECID 
WHERE c.FIRST_NAME IS NOT NULL 
AND C.FIRST_NAME NOT IN (10,11) AND c.KHOI &lt;&gt; 'INDIV'  
AND t.txn_date = l.mov_date AND t.txn_date = to_date ('2025-09-05', 'yyyy-mm-dd') 
AND c.KHOI IS NOT NULL 
AND t.CURRENCY &lt;&gt; 'VND' 
AND l.LOAI_CHUNG_KHOAN = 'TRAI PHIEU DN' 
AND t.LOC_TERM &gt; 12;</t>
  </si>
  <si>
    <t xml:space="preserve">Hiện đúng kết quả với sao kê thực tế. Báo cáo:
Toàn ngành:
- chi nhánh 01341004:
- chi nhánh 01341001: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</si>
</sst>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color rgb="FF000000"/>
      <name val="Arial"/>
      <scheme val="minor"/>
    </font>
    <font>
      <sz val="11"/>
      <color theme="1"/>
      <name val="Times New Roman"/>
    </font>
    <font>
      <b/>
      <sz val="11"/>
      <color rgb="FFFFFFFF"/>
      <name val="Times New Roman"/>
    </font>
    <font>
      <b/>
      <sz val="11"/>
      <color theme="1"/>
      <name val="Times New Roman"/>
    </font>
    <font>
      <sz val="10"/>
      <name val="Arial"/>
    </font>
    <font>
      <sz val="11"/>
      <color rgb="FF000000"/>
      <name val="&quot;Times New Roman&quot;"/>
    </font>
    <font>
      <b/>
      <sz val="11"/>
      <color rgb="FF000000"/>
      <name val="&quot;Times New Roman&quot;"/>
    </font>
    <font>
      <sz val="11"/>
      <color theme="1"/>
      <name val="&quot;Times New Roman&quot;"/>
    </font>
    <font>
      <sz val="10"/>
      <color theme="1"/>
      <name val="Times New Roman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8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1" fillId="6" borderId="1" xfId="0" quotePrefix="1" applyFont="1" applyFill="1" applyBorder="1" applyAlignment="1">
      <alignment horizontal="center" vertical="center" wrapText="1"/>
    </xf>
    <xf numFmtId="0" fontId="1" fillId="6" borderId="1" xfId="0" quotePrefix="1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5" fillId="5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left" vertical="center" wrapText="1"/>
    </xf>
    <xf numFmtId="14" fontId="1" fillId="0" borderId="1" xfId="0" applyNumberFormat="1" applyFont="1" applyBorder="1" applyAlignment="1">
      <alignment vertical="center" wrapText="1"/>
    </xf>
    <xf numFmtId="14" fontId="1" fillId="6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6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33">
    <tableStyle name="BC tuân thủ-B00014-style" pivot="0" count="2" xr9:uid="{00000000-0011-0000-FFFF-FFFF00000000}">
      <tableStyleElement type="firstRowStripe" dxfId="65"/>
      <tableStyleElement type="secondRowStripe" dxfId="64"/>
    </tableStyle>
    <tableStyle name="BC tuân thủ-B00014-style 2" pivot="0" count="2" xr9:uid="{00000000-0011-0000-FFFF-FFFF01000000}">
      <tableStyleElement type="firstRowStripe" dxfId="63"/>
      <tableStyleElement type="secondRowStripe" dxfId="62"/>
    </tableStyle>
    <tableStyle name="BC tuân thủ-B00014-style 3" pivot="0" count="2" xr9:uid="{00000000-0011-0000-FFFF-FFFF02000000}">
      <tableStyleElement type="firstRowStripe" dxfId="61"/>
      <tableStyleElement type="secondRowStripe" dxfId="60"/>
    </tableStyle>
    <tableStyle name="BC tuân thủ-B00014-style 4" pivot="0" count="2" xr9:uid="{00000000-0011-0000-FFFF-FFFF03000000}">
      <tableStyleElement type="firstRowStripe" dxfId="59"/>
      <tableStyleElement type="secondRowStripe" dxfId="58"/>
    </tableStyle>
    <tableStyle name="BC tuân thủ-C00174-style" pivot="0" count="2" xr9:uid="{00000000-0011-0000-FFFF-FFFF04000000}">
      <tableStyleElement type="firstRowStripe" dxfId="57"/>
      <tableStyleElement type="secondRowStripe" dxfId="56"/>
    </tableStyle>
    <tableStyle name="BC tuân thủ-C00174-style 2" pivot="0" count="2" xr9:uid="{00000000-0011-0000-FFFF-FFFF05000000}">
      <tableStyleElement type="firstRowStripe" dxfId="55"/>
      <tableStyleElement type="secondRowStripe" dxfId="54"/>
    </tableStyle>
    <tableStyle name="BC tuân thủ-C00174-style 3" pivot="0" count="2" xr9:uid="{00000000-0011-0000-FFFF-FFFF06000000}">
      <tableStyleElement type="firstRowStripe" dxfId="53"/>
      <tableStyleElement type="secondRowStripe" dxfId="52"/>
    </tableStyle>
    <tableStyle name="BC tuân thủ-C00174-style 4" pivot="0" count="2" xr9:uid="{00000000-0011-0000-FFFF-FFFF07000000}">
      <tableStyleElement type="firstRowStripe" dxfId="51"/>
      <tableStyleElement type="secondRowStripe" dxfId="50"/>
    </tableStyle>
    <tableStyle name="BC tuân thủ-C00174-style 5" pivot="0" count="2" xr9:uid="{00000000-0011-0000-FFFF-FFFF08000000}">
      <tableStyleElement type="firstRowStripe" dxfId="49"/>
      <tableStyleElement type="secondRowStripe" dxfId="48"/>
    </tableStyle>
    <tableStyle name="BC tuân thủ-C00174-style 6" pivot="0" count="2" xr9:uid="{00000000-0011-0000-FFFF-FFFF09000000}">
      <tableStyleElement type="firstRowStripe" dxfId="47"/>
      <tableStyleElement type="secondRowStripe" dxfId="46"/>
    </tableStyle>
    <tableStyle name="BC tuân thủ-C00174-style 7" pivot="0" count="2" xr9:uid="{00000000-0011-0000-FFFF-FFFF0A000000}">
      <tableStyleElement type="firstRowStripe" dxfId="45"/>
      <tableStyleElement type="secondRowStripe" dxfId="44"/>
    </tableStyle>
    <tableStyle name="BC tuân thủ-C00174-style 8" pivot="0" count="2" xr9:uid="{00000000-0011-0000-FFFF-FFFF0B000000}">
      <tableStyleElement type="firstRowStripe" dxfId="43"/>
      <tableStyleElement type="secondRowStripe" dxfId="42"/>
    </tableStyle>
    <tableStyle name="BC tuân thủ-C00174-style 9" pivot="0" count="2" xr9:uid="{00000000-0011-0000-FFFF-FFFF0C000000}">
      <tableStyleElement type="firstRowStripe" dxfId="41"/>
      <tableStyleElement type="secondRowStripe" dxfId="40"/>
    </tableStyle>
    <tableStyle name="BC tuân thủ-C00174-style 10" pivot="0" count="2" xr9:uid="{00000000-0011-0000-FFFF-FFFF0D000000}">
      <tableStyleElement type="firstRowStripe" dxfId="39"/>
      <tableStyleElement type="secondRowStripe" dxfId="38"/>
    </tableStyle>
    <tableStyle name="BC tuân thủ-C00174-style 11" pivot="0" count="2" xr9:uid="{00000000-0011-0000-FFFF-FFFF0E000000}">
      <tableStyleElement type="firstRowStripe" dxfId="37"/>
      <tableStyleElement type="secondRowStripe" dxfId="36"/>
    </tableStyle>
    <tableStyle name="BC tuân thủ-C00174-style 12" pivot="0" count="2" xr9:uid="{00000000-0011-0000-FFFF-FFFF0F000000}">
      <tableStyleElement type="firstRowStripe" dxfId="35"/>
      <tableStyleElement type="secondRowStripe" dxfId="34"/>
    </tableStyle>
    <tableStyle name="BC tuân thủ-C00174-style 13" pivot="0" count="2" xr9:uid="{00000000-0011-0000-FFFF-FFFF10000000}">
      <tableStyleElement type="firstRowStripe" dxfId="33"/>
      <tableStyleElement type="secondRowStripe" dxfId="32"/>
    </tableStyle>
    <tableStyle name="BC tuân thủ-C00174-style 14" pivot="0" count="2" xr9:uid="{00000000-0011-0000-FFFF-FFFF11000000}">
      <tableStyleElement type="firstRowStripe" dxfId="31"/>
      <tableStyleElement type="secondRowStripe" dxfId="30"/>
    </tableStyle>
    <tableStyle name="BC tuân thủ-C00174-style 15" pivot="0" count="2" xr9:uid="{00000000-0011-0000-FFFF-FFFF12000000}">
      <tableStyleElement type="firstRowStripe" dxfId="29"/>
      <tableStyleElement type="secondRowStripe" dxfId="28"/>
    </tableStyle>
    <tableStyle name="BC tuân thủ-C00174-style 16" pivot="0" count="2" xr9:uid="{00000000-0011-0000-FFFF-FFFF13000000}">
      <tableStyleElement type="firstRowStripe" dxfId="27"/>
      <tableStyleElement type="secondRowStripe" dxfId="26"/>
    </tableStyle>
    <tableStyle name="BC tuân thủ-C00174-style 17" pivot="0" count="2" xr9:uid="{00000000-0011-0000-FFFF-FFFF14000000}">
      <tableStyleElement type="firstRowStripe" dxfId="25"/>
      <tableStyleElement type="secondRowStripe" dxfId="24"/>
    </tableStyle>
    <tableStyle name="BC tuân thủ-C00174-style 18" pivot="0" count="2" xr9:uid="{00000000-0011-0000-FFFF-FFFF15000000}">
      <tableStyleElement type="firstRowStripe" dxfId="23"/>
      <tableStyleElement type="secondRowStripe" dxfId="22"/>
    </tableStyle>
    <tableStyle name="BC tuân thủ-C00174-style 19" pivot="0" count="2" xr9:uid="{00000000-0011-0000-FFFF-FFFF16000000}">
      <tableStyleElement type="firstRowStripe" dxfId="21"/>
      <tableStyleElement type="secondRowStripe" dxfId="20"/>
    </tableStyle>
    <tableStyle name="BC tuân thủ-C00174-style 20" pivot="0" count="2" xr9:uid="{00000000-0011-0000-FFFF-FFFF17000000}">
      <tableStyleElement type="firstRowStripe" dxfId="19"/>
      <tableStyleElement type="secondRowStripe" dxfId="18"/>
    </tableStyle>
    <tableStyle name="BC tuân thủ-C00174-style 21" pivot="0" count="2" xr9:uid="{00000000-0011-0000-FFFF-FFFF18000000}">
      <tableStyleElement type="firstRowStripe" dxfId="17"/>
      <tableStyleElement type="secondRowStripe" dxfId="16"/>
    </tableStyle>
    <tableStyle name="BC tuân thủ-C00174-style 22" pivot="0" count="2" xr9:uid="{00000000-0011-0000-FFFF-FFFF19000000}">
      <tableStyleElement type="firstRowStripe" dxfId="15"/>
      <tableStyleElement type="secondRowStripe" dxfId="14"/>
    </tableStyle>
    <tableStyle name="BC tuân thủ-C00174-style 23" pivot="0" count="2" xr9:uid="{00000000-0011-0000-FFFF-FFFF1A000000}">
      <tableStyleElement type="firstRowStripe" dxfId="13"/>
      <tableStyleElement type="secondRowStripe" dxfId="12"/>
    </tableStyle>
    <tableStyle name="BC tuân thủ-C00174-style 24" pivot="0" count="2" xr9:uid="{00000000-0011-0000-FFFF-FFFF1B000000}">
      <tableStyleElement type="firstRowStripe" dxfId="11"/>
      <tableStyleElement type="secondRowStripe" dxfId="10"/>
    </tableStyle>
    <tableStyle name="BC tuân thủ-C00174-style 25" pivot="0" count="2" xr9:uid="{00000000-0011-0000-FFFF-FFFF1C000000}">
      <tableStyleElement type="firstRowStripe" dxfId="9"/>
      <tableStyleElement type="secondRowStripe" dxfId="8"/>
    </tableStyle>
    <tableStyle name="BC tuân thủ-C00174-style 26" pivot="0" count="2" xr9:uid="{00000000-0011-0000-FFFF-FFFF1D000000}">
      <tableStyleElement type="firstRowStripe" dxfId="7"/>
      <tableStyleElement type="secondRowStripe" dxfId="6"/>
    </tableStyle>
    <tableStyle name="BC tuân thủ-C00174-style 27" pivot="0" count="2" xr9:uid="{00000000-0011-0000-FFFF-FFFF1E000000}">
      <tableStyleElement type="firstRowStripe" dxfId="5"/>
      <tableStyleElement type="secondRowStripe" dxfId="4"/>
    </tableStyle>
    <tableStyle name="BC tuân thủ-C00174-style 28" pivot="0" count="2" xr9:uid="{00000000-0011-0000-FFFF-FFFF1F000000}">
      <tableStyleElement type="firstRowStripe" dxfId="3"/>
      <tableStyleElement type="secondRowStripe" dxfId="2"/>
    </tableStyle>
    <tableStyle name="BC tuân thủ-C00174-style 29" pivot="0" count="2" xr9:uid="{00000000-0011-0000-FFFF-FFFF2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152400</xdr:colOff>
      <xdr:row>10</xdr:row>
      <xdr:rowOff>28575</xdr:rowOff>
    </xdr:from>
    <xdr:ext cx="3028950" cy="714375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68580</xdr:colOff>
      <xdr:row>18</xdr:row>
      <xdr:rowOff>2019300</xdr:rowOff>
    </xdr:from>
    <xdr:ext cx="2800350" cy="1000125"/>
    <xdr:pic>
      <xdr:nvPicPr>
        <xdr:cNvPr id="3" name="image1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19800" y="13037820"/>
          <a:ext cx="2800350" cy="10001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352425</xdr:colOff>
      <xdr:row>21</xdr:row>
      <xdr:rowOff>1628775</xdr:rowOff>
    </xdr:from>
    <xdr:ext cx="2638425" cy="857250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11</xdr:row>
      <xdr:rowOff>28575</xdr:rowOff>
    </xdr:from>
    <xdr:ext cx="3028950" cy="714375"/>
    <xdr:pic>
      <xdr:nvPicPr>
        <xdr:cNvPr id="16" name="image6.png" title="Imag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12</xdr:row>
      <xdr:rowOff>28575</xdr:rowOff>
    </xdr:from>
    <xdr:ext cx="3028950" cy="714375"/>
    <xdr:pic>
      <xdr:nvPicPr>
        <xdr:cNvPr id="17" name="image6.png" title="Imag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13</xdr:row>
      <xdr:rowOff>28575</xdr:rowOff>
    </xdr:from>
    <xdr:ext cx="3028950" cy="714375"/>
    <xdr:pic>
      <xdr:nvPicPr>
        <xdr:cNvPr id="18" name="image6.png" title="Imag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14</xdr:row>
      <xdr:rowOff>28575</xdr:rowOff>
    </xdr:from>
    <xdr:ext cx="3028950" cy="714375"/>
    <xdr:pic>
      <xdr:nvPicPr>
        <xdr:cNvPr id="19" name="image6.png" title="Imag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15</xdr:row>
      <xdr:rowOff>28575</xdr:rowOff>
    </xdr:from>
    <xdr:ext cx="3028950" cy="714375"/>
    <xdr:pic>
      <xdr:nvPicPr>
        <xdr:cNvPr id="20" name="image6.png" title="Imag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609600</xdr:colOff>
      <xdr:row>34</xdr:row>
      <xdr:rowOff>95250</xdr:rowOff>
    </xdr:from>
    <xdr:ext cx="676275" cy="800100"/>
    <xdr:pic>
      <xdr:nvPicPr>
        <xdr:cNvPr id="35" name="image28.png" title="Imag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1285875</xdr:colOff>
      <xdr:row>34</xdr:row>
      <xdr:rowOff>95250</xdr:rowOff>
    </xdr:from>
    <xdr:ext cx="1571625" cy="800100"/>
    <xdr:pic>
      <xdr:nvPicPr>
        <xdr:cNvPr id="36" name="image27.png" title="Imag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609600</xdr:colOff>
      <xdr:row>35</xdr:row>
      <xdr:rowOff>95250</xdr:rowOff>
    </xdr:from>
    <xdr:ext cx="676275" cy="800100"/>
    <xdr:pic>
      <xdr:nvPicPr>
        <xdr:cNvPr id="37" name="image28.png" title="Imag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609600</xdr:colOff>
      <xdr:row>36</xdr:row>
      <xdr:rowOff>95250</xdr:rowOff>
    </xdr:from>
    <xdr:ext cx="676275" cy="800100"/>
    <xdr:pic>
      <xdr:nvPicPr>
        <xdr:cNvPr id="38" name="image28.png" title="Imag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1285875</xdr:colOff>
      <xdr:row>35</xdr:row>
      <xdr:rowOff>95250</xdr:rowOff>
    </xdr:from>
    <xdr:ext cx="1571625" cy="800100"/>
    <xdr:pic>
      <xdr:nvPicPr>
        <xdr:cNvPr id="39" name="image24.png" title="Imag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1285875</xdr:colOff>
      <xdr:row>36</xdr:row>
      <xdr:rowOff>95250</xdr:rowOff>
    </xdr:from>
    <xdr:ext cx="1571625" cy="800100"/>
    <xdr:pic>
      <xdr:nvPicPr>
        <xdr:cNvPr id="40" name="image32.png" title="Imag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815340</xdr:colOff>
      <xdr:row>17</xdr:row>
      <xdr:rowOff>274320</xdr:rowOff>
    </xdr:from>
    <xdr:to>
      <xdr:col>4</xdr:col>
      <xdr:colOff>2727960</xdr:colOff>
      <xdr:row>17</xdr:row>
      <xdr:rowOff>1196340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217DA0E1-9238-DC7E-FF4D-7515C6A9D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66560" y="7437120"/>
          <a:ext cx="1912620" cy="922020"/>
        </a:xfrm>
        <a:prstGeom prst="rect">
          <a:avLst/>
        </a:prstGeom>
      </xdr:spPr>
    </xdr:pic>
    <xdr:clientData/>
  </xdr:twoCellAnchor>
  <xdr:twoCellAnchor editAs="oneCell">
    <xdr:from>
      <xdr:col>4</xdr:col>
      <xdr:colOff>922019</xdr:colOff>
      <xdr:row>17</xdr:row>
      <xdr:rowOff>1403002</xdr:rowOff>
    </xdr:from>
    <xdr:to>
      <xdr:col>4</xdr:col>
      <xdr:colOff>2720550</xdr:colOff>
      <xdr:row>17</xdr:row>
      <xdr:rowOff>2476500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2AEA509-896E-1DE2-DE05-107304310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73239" y="8565802"/>
          <a:ext cx="1798531" cy="1073498"/>
        </a:xfrm>
        <a:prstGeom prst="rect">
          <a:avLst/>
        </a:prstGeom>
      </xdr:spPr>
    </xdr:pic>
    <xdr:clientData/>
  </xdr:twoCellAnchor>
  <xdr:twoCellAnchor editAs="oneCell">
    <xdr:from>
      <xdr:col>4</xdr:col>
      <xdr:colOff>885371</xdr:colOff>
      <xdr:row>17</xdr:row>
      <xdr:rowOff>2734855</xdr:rowOff>
    </xdr:from>
    <xdr:to>
      <xdr:col>4</xdr:col>
      <xdr:colOff>2866451</xdr:colOff>
      <xdr:row>18</xdr:row>
      <xdr:rowOff>363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D8AA437-BCA7-5F9A-2F63-DD6947843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45085" y="9810569"/>
          <a:ext cx="1981080" cy="967740"/>
        </a:xfrm>
        <a:prstGeom prst="rect">
          <a:avLst/>
        </a:prstGeom>
      </xdr:spPr>
    </xdr:pic>
    <xdr:clientData/>
  </xdr:twoCellAnchor>
  <xdr:twoCellAnchor editAs="oneCell">
    <xdr:from>
      <xdr:col>5</xdr:col>
      <xdr:colOff>198120</xdr:colOff>
      <xdr:row>17</xdr:row>
      <xdr:rowOff>403861</xdr:rowOff>
    </xdr:from>
    <xdr:to>
      <xdr:col>5</xdr:col>
      <xdr:colOff>2712720</xdr:colOff>
      <xdr:row>17</xdr:row>
      <xdr:rowOff>1112363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C76C0623-70EF-D15E-51DD-8A14D0581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144000" y="7566661"/>
          <a:ext cx="2514600" cy="708502"/>
        </a:xfrm>
        <a:prstGeom prst="rect">
          <a:avLst/>
        </a:prstGeom>
      </xdr:spPr>
    </xdr:pic>
    <xdr:clientData/>
  </xdr:twoCellAnchor>
  <xdr:twoCellAnchor editAs="oneCell">
    <xdr:from>
      <xdr:col>5</xdr:col>
      <xdr:colOff>60960</xdr:colOff>
      <xdr:row>17</xdr:row>
      <xdr:rowOff>2788920</xdr:rowOff>
    </xdr:from>
    <xdr:to>
      <xdr:col>5</xdr:col>
      <xdr:colOff>2840497</xdr:colOff>
      <xdr:row>17</xdr:row>
      <xdr:rowOff>3558540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D57DACFE-82A9-0C26-9AFF-05E6406A5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06840" y="9951720"/>
          <a:ext cx="2779537" cy="769620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</xdr:colOff>
      <xdr:row>17</xdr:row>
      <xdr:rowOff>1455420</xdr:rowOff>
    </xdr:from>
    <xdr:to>
      <xdr:col>5</xdr:col>
      <xdr:colOff>2971107</xdr:colOff>
      <xdr:row>17</xdr:row>
      <xdr:rowOff>2278380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CFFD23A-B58C-541F-B664-ED059EF4A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99220" y="8618220"/>
          <a:ext cx="2917767" cy="822960"/>
        </a:xfrm>
        <a:prstGeom prst="rect">
          <a:avLst/>
        </a:prstGeom>
      </xdr:spPr>
    </xdr:pic>
    <xdr:clientData/>
  </xdr:twoCellAnchor>
  <xdr:twoCellAnchor editAs="oneCell">
    <xdr:from>
      <xdr:col>5</xdr:col>
      <xdr:colOff>106680</xdr:colOff>
      <xdr:row>18</xdr:row>
      <xdr:rowOff>1767840</xdr:rowOff>
    </xdr:from>
    <xdr:to>
      <xdr:col>5</xdr:col>
      <xdr:colOff>2621280</xdr:colOff>
      <xdr:row>18</xdr:row>
      <xdr:rowOff>2476342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A46741C-273E-442F-8529-DC75D2426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052560" y="12611100"/>
          <a:ext cx="2514600" cy="708502"/>
        </a:xfrm>
        <a:prstGeom prst="rect">
          <a:avLst/>
        </a:prstGeom>
      </xdr:spPr>
    </xdr:pic>
    <xdr:clientData/>
  </xdr:twoCellAnchor>
  <xdr:twoCellAnchor editAs="oneCell">
    <xdr:from>
      <xdr:col>5</xdr:col>
      <xdr:colOff>106680</xdr:colOff>
      <xdr:row>19</xdr:row>
      <xdr:rowOff>190500</xdr:rowOff>
    </xdr:from>
    <xdr:to>
      <xdr:col>5</xdr:col>
      <xdr:colOff>2683078</xdr:colOff>
      <xdr:row>19</xdr:row>
      <xdr:rowOff>899160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93D0F5B7-CB85-4438-6E0D-64C6FA08C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052560" y="15240000"/>
          <a:ext cx="2576398" cy="70866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137159</xdr:colOff>
      <xdr:row>20</xdr:row>
      <xdr:rowOff>1203960</xdr:rowOff>
    </xdr:from>
    <xdr:to>
      <xdr:col>4</xdr:col>
      <xdr:colOff>2713664</xdr:colOff>
      <xdr:row>20</xdr:row>
      <xdr:rowOff>2446020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9A9D5C2C-5A52-42BE-A09F-FF101A464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88379" y="17327880"/>
          <a:ext cx="2576505" cy="1242060"/>
        </a:xfrm>
        <a:prstGeom prst="rect">
          <a:avLst/>
        </a:prstGeom>
      </xdr:spPr>
    </xdr:pic>
    <xdr:clientData/>
  </xdr:twoCellAnchor>
  <xdr:twoCellAnchor editAs="oneCell">
    <xdr:from>
      <xdr:col>5</xdr:col>
      <xdr:colOff>83819</xdr:colOff>
      <xdr:row>20</xdr:row>
      <xdr:rowOff>1242060</xdr:rowOff>
    </xdr:from>
    <xdr:to>
      <xdr:col>5</xdr:col>
      <xdr:colOff>2848429</xdr:colOff>
      <xdr:row>20</xdr:row>
      <xdr:rowOff>2065020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B43CC7E-7940-0CAF-9A2E-CA0FA2487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191533" y="17389203"/>
          <a:ext cx="2764610" cy="822960"/>
        </a:xfrm>
        <a:prstGeom prst="rect">
          <a:avLst/>
        </a:prstGeom>
      </xdr:spPr>
    </xdr:pic>
    <xdr:clientData/>
  </xdr:twoCellAnchor>
  <xdr:twoCellAnchor editAs="oneCell">
    <xdr:from>
      <xdr:col>5</xdr:col>
      <xdr:colOff>134045</xdr:colOff>
      <xdr:row>21</xdr:row>
      <xdr:rowOff>1813560</xdr:rowOff>
    </xdr:from>
    <xdr:to>
      <xdr:col>5</xdr:col>
      <xdr:colOff>3570431</xdr:colOff>
      <xdr:row>21</xdr:row>
      <xdr:rowOff>2407920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DF18089-4AA9-9E03-E33B-973E596B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79925" y="21092160"/>
          <a:ext cx="3432115" cy="59436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152401</xdr:colOff>
      <xdr:row>22</xdr:row>
      <xdr:rowOff>236220</xdr:rowOff>
    </xdr:from>
    <xdr:to>
      <xdr:col>5</xdr:col>
      <xdr:colOff>2964181</xdr:colOff>
      <xdr:row>22</xdr:row>
      <xdr:rowOff>891540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8C6F11B-E850-A97A-1096-DA319DE2F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098281" y="22669500"/>
          <a:ext cx="2811780" cy="655320"/>
        </a:xfrm>
        <a:prstGeom prst="rect">
          <a:avLst/>
        </a:prstGeom>
      </xdr:spPr>
    </xdr:pic>
    <xdr:clientData/>
  </xdr:twoCellAnchor>
  <xdr:twoCellAnchor editAs="oneCell">
    <xdr:from>
      <xdr:col>4</xdr:col>
      <xdr:colOff>83820</xdr:colOff>
      <xdr:row>24</xdr:row>
      <xdr:rowOff>1203960</xdr:rowOff>
    </xdr:from>
    <xdr:to>
      <xdr:col>4</xdr:col>
      <xdr:colOff>2881620</xdr:colOff>
      <xdr:row>24</xdr:row>
      <xdr:rowOff>2552700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C66B9344-6126-420D-A2B1-4EEE480A5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35040" y="24856440"/>
          <a:ext cx="2797800" cy="1348740"/>
        </a:xfrm>
        <a:prstGeom prst="rect">
          <a:avLst/>
        </a:prstGeom>
      </xdr:spPr>
    </xdr:pic>
    <xdr:clientData/>
  </xdr:twoCellAnchor>
  <xdr:twoCellAnchor editAs="oneCell">
    <xdr:from>
      <xdr:col>5</xdr:col>
      <xdr:colOff>99060</xdr:colOff>
      <xdr:row>24</xdr:row>
      <xdr:rowOff>1242059</xdr:rowOff>
    </xdr:from>
    <xdr:to>
      <xdr:col>5</xdr:col>
      <xdr:colOff>2794000</xdr:colOff>
      <xdr:row>24</xdr:row>
      <xdr:rowOff>2090114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6F9C732-14A2-41E5-A3D3-F484ACDF6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06774" y="25027345"/>
          <a:ext cx="2694940" cy="848055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25</xdr:row>
      <xdr:rowOff>1737360</xdr:rowOff>
    </xdr:from>
    <xdr:to>
      <xdr:col>4</xdr:col>
      <xdr:colOff>2874000</xdr:colOff>
      <xdr:row>25</xdr:row>
      <xdr:rowOff>3086100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8CA8544B-0EC2-4FBD-A625-878FAE013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27420" y="28719780"/>
          <a:ext cx="2797800" cy="1348740"/>
        </a:xfrm>
        <a:prstGeom prst="rect">
          <a:avLst/>
        </a:prstGeom>
      </xdr:spPr>
    </xdr:pic>
    <xdr:clientData/>
  </xdr:twoCellAnchor>
  <xdr:twoCellAnchor editAs="oneCell">
    <xdr:from>
      <xdr:col>5</xdr:col>
      <xdr:colOff>327660</xdr:colOff>
      <xdr:row>25</xdr:row>
      <xdr:rowOff>1638300</xdr:rowOff>
    </xdr:from>
    <xdr:to>
      <xdr:col>5</xdr:col>
      <xdr:colOff>3341831</xdr:colOff>
      <xdr:row>25</xdr:row>
      <xdr:rowOff>2486355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4F5E8B9-CB0E-4FD2-86CA-4CC4CA679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73540" y="28620720"/>
          <a:ext cx="3009900" cy="84805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228600</xdr:rowOff>
    </xdr:from>
    <xdr:to>
      <xdr:col>5</xdr:col>
      <xdr:colOff>3241673</xdr:colOff>
      <xdr:row>27</xdr:row>
      <xdr:rowOff>53202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F71A4DB-9F94-CE44-2A40-F5FACF785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945880" y="31249620"/>
          <a:ext cx="3240288" cy="876162"/>
        </a:xfrm>
        <a:prstGeom prst="rect">
          <a:avLst/>
        </a:prstGeom>
      </xdr:spPr>
    </xdr:pic>
    <xdr:clientData/>
  </xdr:twoCellAnchor>
  <xdr:twoCellAnchor editAs="oneCell">
    <xdr:from>
      <xdr:col>4</xdr:col>
      <xdr:colOff>160020</xdr:colOff>
      <xdr:row>27</xdr:row>
      <xdr:rowOff>1135380</xdr:rowOff>
    </xdr:from>
    <xdr:to>
      <xdr:col>4</xdr:col>
      <xdr:colOff>2957820</xdr:colOff>
      <xdr:row>27</xdr:row>
      <xdr:rowOff>2484120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624E2CF-52AD-4F46-8488-3F5121F0C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11240" y="33207960"/>
          <a:ext cx="2797800" cy="1348740"/>
        </a:xfrm>
        <a:prstGeom prst="rect">
          <a:avLst/>
        </a:prstGeom>
      </xdr:spPr>
    </xdr:pic>
    <xdr:clientData/>
  </xdr:twoCellAnchor>
  <xdr:twoCellAnchor editAs="oneCell">
    <xdr:from>
      <xdr:col>4</xdr:col>
      <xdr:colOff>83820</xdr:colOff>
      <xdr:row>28</xdr:row>
      <xdr:rowOff>1684020</xdr:rowOff>
    </xdr:from>
    <xdr:to>
      <xdr:col>4</xdr:col>
      <xdr:colOff>2881620</xdr:colOff>
      <xdr:row>28</xdr:row>
      <xdr:rowOff>3032760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5941A38D-559D-43C8-9BC9-B6D7462A5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35040" y="36911280"/>
          <a:ext cx="2797800" cy="134874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27</xdr:row>
      <xdr:rowOff>1318260</xdr:rowOff>
    </xdr:from>
    <xdr:to>
      <xdr:col>5</xdr:col>
      <xdr:colOff>3026525</xdr:colOff>
      <xdr:row>27</xdr:row>
      <xdr:rowOff>2166315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935D974D-D876-4C35-B669-3DB809713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61120" y="33390840"/>
          <a:ext cx="3009900" cy="848055"/>
        </a:xfrm>
        <a:prstGeom prst="rect">
          <a:avLst/>
        </a:prstGeom>
      </xdr:spPr>
    </xdr:pic>
    <xdr:clientData/>
  </xdr:twoCellAnchor>
  <xdr:twoCellAnchor editAs="oneCell">
    <xdr:from>
      <xdr:col>5</xdr:col>
      <xdr:colOff>60960</xdr:colOff>
      <xdr:row>28</xdr:row>
      <xdr:rowOff>2164080</xdr:rowOff>
    </xdr:from>
    <xdr:to>
      <xdr:col>5</xdr:col>
      <xdr:colOff>3072245</xdr:colOff>
      <xdr:row>28</xdr:row>
      <xdr:rowOff>3012135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A74076D0-4A23-4DB1-97AF-1BBEB1CC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006840" y="37391340"/>
          <a:ext cx="3009900" cy="848055"/>
        </a:xfrm>
        <a:prstGeom prst="rect">
          <a:avLst/>
        </a:prstGeom>
      </xdr:spPr>
    </xdr:pic>
    <xdr:clientData/>
  </xdr:twoCellAnchor>
  <xdr:twoCellAnchor editAs="oneCell">
    <xdr:from>
      <xdr:col>5</xdr:col>
      <xdr:colOff>68580</xdr:colOff>
      <xdr:row>29</xdr:row>
      <xdr:rowOff>167641</xdr:rowOff>
    </xdr:from>
    <xdr:to>
      <xdr:col>5</xdr:col>
      <xdr:colOff>2979420</xdr:colOff>
      <xdr:row>29</xdr:row>
      <xdr:rowOff>987785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C75DC687-B55F-4484-B21F-741EA51CF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014460" y="39601141"/>
          <a:ext cx="2910840" cy="820144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</xdr:colOff>
      <xdr:row>31</xdr:row>
      <xdr:rowOff>152400</xdr:rowOff>
    </xdr:from>
    <xdr:to>
      <xdr:col>5</xdr:col>
      <xdr:colOff>2825847</xdr:colOff>
      <xdr:row>31</xdr:row>
      <xdr:rowOff>906780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9465852D-80B9-6207-E113-FEB61C345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999220" y="40767000"/>
          <a:ext cx="2772507" cy="754380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</xdr:colOff>
      <xdr:row>32</xdr:row>
      <xdr:rowOff>114301</xdr:rowOff>
    </xdr:from>
    <xdr:to>
      <xdr:col>5</xdr:col>
      <xdr:colOff>2804160</xdr:colOff>
      <xdr:row>32</xdr:row>
      <xdr:rowOff>885559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8B39368-3408-7580-4922-9163F7CFF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999220" y="41757601"/>
          <a:ext cx="2750820" cy="771258"/>
        </a:xfrm>
        <a:prstGeom prst="rect">
          <a:avLst/>
        </a:prstGeom>
      </xdr:spPr>
    </xdr:pic>
    <xdr:clientData/>
  </xdr:twoCellAnchor>
  <xdr:twoCellAnchor editAs="oneCell">
    <xdr:from>
      <xdr:col>5</xdr:col>
      <xdr:colOff>167641</xdr:colOff>
      <xdr:row>33</xdr:row>
      <xdr:rowOff>198120</xdr:rowOff>
    </xdr:from>
    <xdr:to>
      <xdr:col>5</xdr:col>
      <xdr:colOff>2869899</xdr:colOff>
      <xdr:row>33</xdr:row>
      <xdr:rowOff>944880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271A970D-581E-3DF6-3105-FD066230A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113521" y="42809160"/>
          <a:ext cx="2702258" cy="746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M849"/>
  <sheetViews>
    <sheetView tabSelected="1" zoomScale="66" zoomScaleNormal="70" workbookViewId="0">
      <selection activeCell="P12" sqref="P12"/>
    </sheetView>
  </sheetViews>
  <sheetFormatPr defaultColWidth="12.6640625" defaultRowHeight="15.75" customHeight="1" outlineLevelRow="1"/>
  <cols>
    <col min="1" max="1" width="7.77734375" customWidth="1"/>
    <col min="2" max="3" width="14.44140625" customWidth="1"/>
    <col min="4" max="4" width="50.109375" customWidth="1"/>
    <col min="5" max="5" width="43.6640625" customWidth="1"/>
    <col min="6" max="6" width="58.6640625" customWidth="1"/>
    <col min="7" max="7" width="10" customWidth="1"/>
    <col min="8" max="8" width="9.21875" customWidth="1"/>
  </cols>
  <sheetData>
    <row r="1" spans="1:65" ht="13.8">
      <c r="A1" s="1"/>
      <c r="B1" s="2" t="s">
        <v>0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</row>
    <row r="2" spans="1:65" ht="27.6">
      <c r="A2" s="5" t="s">
        <v>1</v>
      </c>
      <c r="B2" s="5">
        <f>SUM(B3:B6)</f>
        <v>24</v>
      </c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3" spans="1:65" ht="13.8">
      <c r="A3" s="6" t="s">
        <v>2</v>
      </c>
      <c r="B3" s="7">
        <f>COUNTIF(H1:H37,"Pass")</f>
        <v>24</v>
      </c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 spans="1:65" ht="13.8">
      <c r="A4" s="6" t="s">
        <v>3</v>
      </c>
      <c r="B4" s="7">
        <f>COUNTIF(H2:H37,"Fail")</f>
        <v>0</v>
      </c>
      <c r="C4" s="3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 spans="1:65" ht="27.6">
      <c r="A5" s="6" t="s">
        <v>4</v>
      </c>
      <c r="B5" s="7">
        <f>COUNTIF(H3:H37,"Pending")</f>
        <v>0</v>
      </c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spans="1:65" ht="13.8">
      <c r="A6" s="6" t="s">
        <v>5</v>
      </c>
      <c r="B6" s="7">
        <f>COUNTIF(H4:H37,"N/A")</f>
        <v>0</v>
      </c>
      <c r="C6" s="3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spans="1:65" ht="13.8">
      <c r="A7" s="6" t="s">
        <v>6</v>
      </c>
      <c r="B7" s="27" t="s">
        <v>7</v>
      </c>
      <c r="C7" s="28"/>
      <c r="D7" s="29"/>
      <c r="E7" s="8"/>
      <c r="F7" s="8"/>
      <c r="G7" s="8"/>
      <c r="H7" s="8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</row>
    <row r="8" spans="1:65" ht="13.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</row>
    <row r="9" spans="1:65" ht="27.6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2" t="s">
        <v>18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</row>
    <row r="10" spans="1:65" ht="13.8">
      <c r="A10" s="30" t="s">
        <v>19</v>
      </c>
      <c r="B10" s="28"/>
      <c r="C10" s="29"/>
      <c r="D10" s="9"/>
      <c r="E10" s="9"/>
      <c r="F10" s="10"/>
      <c r="G10" s="10"/>
      <c r="H10" s="11"/>
      <c r="I10" s="11"/>
      <c r="J10" s="11"/>
      <c r="K10" s="11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</row>
    <row r="11" spans="1:65" ht="62.25" customHeight="1" outlineLevel="1">
      <c r="A11" s="13">
        <v>1</v>
      </c>
      <c r="B11" s="14" t="s">
        <v>20</v>
      </c>
      <c r="C11" s="14"/>
      <c r="D11" s="14" t="s">
        <v>21</v>
      </c>
      <c r="E11" s="14" t="s">
        <v>22</v>
      </c>
      <c r="F11" s="14"/>
      <c r="G11" s="15"/>
      <c r="H11" s="16" t="s">
        <v>23</v>
      </c>
      <c r="I11" s="32">
        <v>45979</v>
      </c>
      <c r="J11" s="17"/>
      <c r="K11" s="17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</row>
    <row r="12" spans="1:65" ht="62.25" customHeight="1" outlineLevel="1">
      <c r="A12" s="13">
        <v>2</v>
      </c>
      <c r="B12" s="18" t="s">
        <v>24</v>
      </c>
      <c r="C12" s="14"/>
      <c r="D12" s="14" t="s">
        <v>25</v>
      </c>
      <c r="E12" s="14" t="s">
        <v>26</v>
      </c>
      <c r="F12" s="14"/>
      <c r="G12" s="15"/>
      <c r="H12" s="16" t="s">
        <v>23</v>
      </c>
      <c r="I12" s="32">
        <v>45979</v>
      </c>
      <c r="J12" s="17"/>
      <c r="K12" s="17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</row>
    <row r="13" spans="1:65" ht="62.25" customHeight="1" outlineLevel="1">
      <c r="A13" s="13">
        <v>3</v>
      </c>
      <c r="B13" s="18" t="s">
        <v>27</v>
      </c>
      <c r="C13" s="14"/>
      <c r="D13" s="14" t="s">
        <v>25</v>
      </c>
      <c r="E13" s="14" t="s">
        <v>28</v>
      </c>
      <c r="F13" s="14"/>
      <c r="G13" s="15"/>
      <c r="H13" s="16" t="s">
        <v>23</v>
      </c>
      <c r="I13" s="32">
        <v>45979</v>
      </c>
      <c r="J13" s="17"/>
      <c r="K13" s="17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</row>
    <row r="14" spans="1:65" ht="62.25" customHeight="1" outlineLevel="1">
      <c r="A14" s="13">
        <v>4</v>
      </c>
      <c r="B14" s="14" t="s">
        <v>29</v>
      </c>
      <c r="C14" s="14"/>
      <c r="D14" s="14" t="s">
        <v>30</v>
      </c>
      <c r="E14" s="14" t="s">
        <v>31</v>
      </c>
      <c r="F14" s="14"/>
      <c r="G14" s="15"/>
      <c r="H14" s="16" t="s">
        <v>23</v>
      </c>
      <c r="I14" s="32">
        <v>45979</v>
      </c>
      <c r="J14" s="17"/>
      <c r="K14" s="17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</row>
    <row r="15" spans="1:65" ht="62.25" customHeight="1" outlineLevel="1">
      <c r="A15" s="13">
        <v>5</v>
      </c>
      <c r="B15" s="14" t="s">
        <v>32</v>
      </c>
      <c r="C15" s="14"/>
      <c r="D15" s="14" t="s">
        <v>33</v>
      </c>
      <c r="E15" s="14" t="s">
        <v>34</v>
      </c>
      <c r="F15" s="14"/>
      <c r="G15" s="15"/>
      <c r="H15" s="16" t="s">
        <v>23</v>
      </c>
      <c r="I15" s="32">
        <v>45979</v>
      </c>
      <c r="J15" s="17"/>
      <c r="K15" s="17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</row>
    <row r="16" spans="1:65" ht="62.25" customHeight="1" outlineLevel="1">
      <c r="A16" s="13">
        <v>6</v>
      </c>
      <c r="B16" s="19" t="s">
        <v>35</v>
      </c>
      <c r="C16" s="14"/>
      <c r="D16" s="14" t="s">
        <v>36</v>
      </c>
      <c r="E16" s="14" t="s">
        <v>37</v>
      </c>
      <c r="F16" s="14"/>
      <c r="G16" s="15"/>
      <c r="H16" s="16" t="s">
        <v>23</v>
      </c>
      <c r="I16" s="32">
        <v>45979</v>
      </c>
      <c r="J16" s="17"/>
      <c r="K16" s="17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</row>
    <row r="17" spans="1:65" ht="13.8">
      <c r="A17" s="31" t="s">
        <v>38</v>
      </c>
      <c r="B17" s="28"/>
      <c r="C17" s="28"/>
      <c r="D17" s="28"/>
      <c r="E17" s="28"/>
      <c r="F17" s="29"/>
      <c r="G17" s="11"/>
      <c r="H17" s="11"/>
      <c r="I17" s="11"/>
      <c r="J17" s="11"/>
      <c r="K17" s="11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</row>
    <row r="18" spans="1:65" ht="289.8" outlineLevel="1">
      <c r="A18" s="16" t="s">
        <v>39</v>
      </c>
      <c r="B18" s="21" t="s">
        <v>40</v>
      </c>
      <c r="C18" s="21" t="s">
        <v>41</v>
      </c>
      <c r="D18" s="25" t="s">
        <v>101</v>
      </c>
      <c r="E18" s="21" t="s">
        <v>109</v>
      </c>
      <c r="F18" s="21" t="s">
        <v>109</v>
      </c>
      <c r="G18" s="16" t="s">
        <v>42</v>
      </c>
      <c r="H18" s="16" t="s">
        <v>23</v>
      </c>
      <c r="I18" s="33">
        <v>45980</v>
      </c>
      <c r="J18" s="21"/>
      <c r="K18" s="21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</row>
    <row r="19" spans="1:65" ht="358.8" outlineLevel="1">
      <c r="A19" s="16"/>
      <c r="B19" s="21"/>
      <c r="C19" s="21" t="s">
        <v>43</v>
      </c>
      <c r="D19" s="25" t="s">
        <v>102</v>
      </c>
      <c r="E19" s="22" t="s">
        <v>44</v>
      </c>
      <c r="F19" s="22" t="s">
        <v>45</v>
      </c>
      <c r="G19" s="23" t="s">
        <v>46</v>
      </c>
      <c r="H19" s="16" t="s">
        <v>23</v>
      </c>
      <c r="I19" s="33">
        <v>45980</v>
      </c>
      <c r="J19" s="21"/>
      <c r="K19" s="21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</row>
    <row r="20" spans="1:65" ht="84.75" customHeight="1" outlineLevel="1">
      <c r="A20" s="16"/>
      <c r="B20" s="21"/>
      <c r="C20" s="21" t="s">
        <v>47</v>
      </c>
      <c r="D20" s="24" t="s">
        <v>48</v>
      </c>
      <c r="E20" s="22" t="s">
        <v>49</v>
      </c>
      <c r="F20" s="22" t="s">
        <v>50</v>
      </c>
      <c r="G20" s="16" t="s">
        <v>42</v>
      </c>
      <c r="H20" s="16" t="s">
        <v>23</v>
      </c>
      <c r="I20" s="33">
        <v>45980</v>
      </c>
      <c r="J20" s="21"/>
      <c r="K20" s="21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</row>
    <row r="21" spans="1:65" ht="248.4" outlineLevel="1">
      <c r="A21" s="16"/>
      <c r="B21" s="21" t="s">
        <v>51</v>
      </c>
      <c r="C21" s="21" t="s">
        <v>52</v>
      </c>
      <c r="D21" s="21" t="s">
        <v>103</v>
      </c>
      <c r="E21" s="22" t="s">
        <v>53</v>
      </c>
      <c r="F21" s="22" t="s">
        <v>54</v>
      </c>
      <c r="G21" s="23" t="s">
        <v>46</v>
      </c>
      <c r="H21" s="16" t="s">
        <v>23</v>
      </c>
      <c r="I21" s="33">
        <v>45981</v>
      </c>
      <c r="J21" s="21"/>
      <c r="K21" s="21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</row>
    <row r="22" spans="1:65" ht="248.4" outlineLevel="1">
      <c r="A22" s="16"/>
      <c r="B22" s="21"/>
      <c r="C22" s="21" t="s">
        <v>55</v>
      </c>
      <c r="D22" s="21" t="s">
        <v>104</v>
      </c>
      <c r="E22" s="22" t="s">
        <v>56</v>
      </c>
      <c r="F22" s="22" t="s">
        <v>57</v>
      </c>
      <c r="G22" s="23" t="s">
        <v>46</v>
      </c>
      <c r="H22" s="16" t="s">
        <v>23</v>
      </c>
      <c r="I22" s="33">
        <v>45981</v>
      </c>
      <c r="J22" s="21"/>
      <c r="K22" s="21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</row>
    <row r="23" spans="1:65" ht="82.5" customHeight="1" outlineLevel="1">
      <c r="A23" s="16"/>
      <c r="B23" s="21"/>
      <c r="C23" s="21" t="s">
        <v>58</v>
      </c>
      <c r="D23" s="24" t="s">
        <v>59</v>
      </c>
      <c r="E23" s="21" t="s">
        <v>60</v>
      </c>
      <c r="F23" s="21" t="s">
        <v>61</v>
      </c>
      <c r="G23" s="23" t="s">
        <v>46</v>
      </c>
      <c r="H23" s="16" t="s">
        <v>23</v>
      </c>
      <c r="I23" s="33">
        <v>45981</v>
      </c>
      <c r="J23" s="21"/>
      <c r="K23" s="21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</row>
    <row r="24" spans="1:65" ht="13.8">
      <c r="A24" s="31" t="s">
        <v>62</v>
      </c>
      <c r="B24" s="28"/>
      <c r="C24" s="28"/>
      <c r="D24" s="28"/>
      <c r="E24" s="28"/>
      <c r="F24" s="29"/>
      <c r="G24" s="11"/>
      <c r="H24" s="11"/>
      <c r="I24" s="11"/>
      <c r="J24" s="11"/>
      <c r="K24" s="11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</row>
    <row r="25" spans="1:65" ht="276" outlineLevel="1">
      <c r="A25" s="16"/>
      <c r="B25" s="21" t="s">
        <v>40</v>
      </c>
      <c r="C25" s="21" t="s">
        <v>63</v>
      </c>
      <c r="D25" s="21" t="s">
        <v>105</v>
      </c>
      <c r="E25" s="22" t="s">
        <v>64</v>
      </c>
      <c r="F25" s="22" t="s">
        <v>65</v>
      </c>
      <c r="G25" s="23" t="s">
        <v>46</v>
      </c>
      <c r="H25" s="16" t="s">
        <v>23</v>
      </c>
      <c r="I25" s="33">
        <v>45982</v>
      </c>
      <c r="J25" s="21"/>
      <c r="K25" s="21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</row>
    <row r="26" spans="1:65" ht="318" customHeight="1" outlineLevel="1">
      <c r="A26" s="16"/>
      <c r="B26" s="21"/>
      <c r="C26" s="21" t="s">
        <v>66</v>
      </c>
      <c r="D26" s="21" t="s">
        <v>106</v>
      </c>
      <c r="E26" s="22" t="s">
        <v>67</v>
      </c>
      <c r="F26" s="26" t="s">
        <v>68</v>
      </c>
      <c r="G26" s="23" t="s">
        <v>46</v>
      </c>
      <c r="H26" s="16" t="s">
        <v>23</v>
      </c>
      <c r="I26" s="33">
        <v>45982</v>
      </c>
      <c r="J26" s="21"/>
      <c r="K26" s="21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</row>
    <row r="27" spans="1:65" ht="82.8" outlineLevel="1">
      <c r="A27" s="16"/>
      <c r="B27" s="21"/>
      <c r="C27" s="21" t="s">
        <v>69</v>
      </c>
      <c r="D27" s="24" t="s">
        <v>70</v>
      </c>
      <c r="E27" s="21" t="s">
        <v>71</v>
      </c>
      <c r="F27" s="21" t="s">
        <v>61</v>
      </c>
      <c r="G27" s="16" t="s">
        <v>72</v>
      </c>
      <c r="H27" s="16" t="s">
        <v>23</v>
      </c>
      <c r="I27" s="33">
        <v>45982</v>
      </c>
      <c r="J27" s="21"/>
      <c r="K27" s="21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</row>
    <row r="28" spans="1:65" ht="248.4" outlineLevel="1">
      <c r="A28" s="16"/>
      <c r="B28" s="21" t="s">
        <v>51</v>
      </c>
      <c r="C28" s="21" t="s">
        <v>73</v>
      </c>
      <c r="D28" s="21" t="s">
        <v>107</v>
      </c>
      <c r="E28" s="22" t="s">
        <v>74</v>
      </c>
      <c r="F28" s="22" t="s">
        <v>75</v>
      </c>
      <c r="G28" s="23" t="s">
        <v>46</v>
      </c>
      <c r="H28" s="16" t="s">
        <v>23</v>
      </c>
      <c r="I28" s="33">
        <v>45983</v>
      </c>
      <c r="J28" s="21"/>
      <c r="K28" s="21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</row>
    <row r="29" spans="1:65" ht="331.2" outlineLevel="1">
      <c r="A29" s="16"/>
      <c r="B29" s="21"/>
      <c r="C29" s="21" t="s">
        <v>76</v>
      </c>
      <c r="D29" s="21" t="s">
        <v>108</v>
      </c>
      <c r="E29" s="22" t="s">
        <v>77</v>
      </c>
      <c r="F29" s="22" t="s">
        <v>78</v>
      </c>
      <c r="G29" s="23" t="s">
        <v>46</v>
      </c>
      <c r="H29" s="16" t="s">
        <v>23</v>
      </c>
      <c r="I29" s="33">
        <v>45983</v>
      </c>
      <c r="J29" s="21"/>
      <c r="K29" s="21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</row>
    <row r="30" spans="1:65" ht="79.5" customHeight="1" outlineLevel="1">
      <c r="A30" s="16"/>
      <c r="B30" s="21"/>
      <c r="C30" s="21" t="s">
        <v>79</v>
      </c>
      <c r="D30" s="24" t="s">
        <v>80</v>
      </c>
      <c r="E30" s="21" t="s">
        <v>81</v>
      </c>
      <c r="F30" s="21" t="s">
        <v>61</v>
      </c>
      <c r="G30" s="16" t="s">
        <v>72</v>
      </c>
      <c r="H30" s="16" t="s">
        <v>23</v>
      </c>
      <c r="I30" s="33">
        <v>45983</v>
      </c>
      <c r="J30" s="21"/>
      <c r="K30" s="21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</row>
    <row r="31" spans="1:65" ht="13.8">
      <c r="A31" s="31" t="s">
        <v>82</v>
      </c>
      <c r="B31" s="28"/>
      <c r="C31" s="28"/>
      <c r="D31" s="28"/>
      <c r="E31" s="28"/>
      <c r="F31" s="29"/>
      <c r="G31" s="11"/>
      <c r="H31" s="11"/>
      <c r="I31" s="11"/>
      <c r="J31" s="11"/>
      <c r="K31" s="11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</row>
    <row r="32" spans="1:65" ht="81" customHeight="1" outlineLevel="1">
      <c r="A32" s="16"/>
      <c r="B32" s="21" t="s">
        <v>40</v>
      </c>
      <c r="C32" s="21" t="s">
        <v>83</v>
      </c>
      <c r="D32" s="24" t="s">
        <v>84</v>
      </c>
      <c r="E32" s="21" t="s">
        <v>85</v>
      </c>
      <c r="F32" s="21" t="s">
        <v>61</v>
      </c>
      <c r="G32" s="16" t="s">
        <v>42</v>
      </c>
      <c r="H32" s="16" t="s">
        <v>23</v>
      </c>
      <c r="I32" s="33">
        <v>45984</v>
      </c>
      <c r="J32" s="21"/>
      <c r="K32" s="21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</row>
    <row r="33" spans="1:65" ht="76.5" customHeight="1" outlineLevel="1">
      <c r="A33" s="16"/>
      <c r="B33" s="21"/>
      <c r="C33" s="21" t="s">
        <v>86</v>
      </c>
      <c r="D33" s="24" t="s">
        <v>87</v>
      </c>
      <c r="E33" s="21" t="s">
        <v>88</v>
      </c>
      <c r="F33" s="21" t="s">
        <v>61</v>
      </c>
      <c r="G33" s="16" t="s">
        <v>72</v>
      </c>
      <c r="H33" s="16" t="s">
        <v>23</v>
      </c>
      <c r="I33" s="33">
        <v>45984</v>
      </c>
      <c r="J33" s="21"/>
      <c r="K33" s="21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</row>
    <row r="34" spans="1:65" ht="76.5" customHeight="1" outlineLevel="1">
      <c r="A34" s="16"/>
      <c r="B34" s="21"/>
      <c r="C34" s="21" t="s">
        <v>89</v>
      </c>
      <c r="D34" s="24" t="s">
        <v>90</v>
      </c>
      <c r="E34" s="21" t="s">
        <v>91</v>
      </c>
      <c r="F34" s="21" t="s">
        <v>61</v>
      </c>
      <c r="G34" s="16" t="s">
        <v>42</v>
      </c>
      <c r="H34" s="16" t="s">
        <v>23</v>
      </c>
      <c r="I34" s="33">
        <v>45984</v>
      </c>
      <c r="J34" s="21"/>
      <c r="K34" s="21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</row>
    <row r="35" spans="1:65" ht="76.5" customHeight="1" outlineLevel="1">
      <c r="A35" s="16"/>
      <c r="B35" s="21" t="s">
        <v>51</v>
      </c>
      <c r="C35" s="21" t="s">
        <v>92</v>
      </c>
      <c r="D35" s="24" t="s">
        <v>93</v>
      </c>
      <c r="E35" s="21" t="s">
        <v>94</v>
      </c>
      <c r="F35" s="21" t="s">
        <v>61</v>
      </c>
      <c r="G35" s="16" t="s">
        <v>72</v>
      </c>
      <c r="H35" s="16" t="s">
        <v>23</v>
      </c>
      <c r="I35" s="33">
        <v>45984</v>
      </c>
      <c r="J35" s="21"/>
      <c r="K35" s="21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</row>
    <row r="36" spans="1:65" ht="76.5" customHeight="1" outlineLevel="1">
      <c r="A36" s="16"/>
      <c r="B36" s="21"/>
      <c r="C36" s="21" t="s">
        <v>95</v>
      </c>
      <c r="D36" s="24" t="s">
        <v>96</v>
      </c>
      <c r="E36" s="21" t="s">
        <v>97</v>
      </c>
      <c r="F36" s="21" t="s">
        <v>61</v>
      </c>
      <c r="G36" s="16" t="s">
        <v>72</v>
      </c>
      <c r="H36" s="16" t="s">
        <v>23</v>
      </c>
      <c r="I36" s="33">
        <v>45984</v>
      </c>
      <c r="J36" s="21"/>
      <c r="K36" s="21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</row>
    <row r="37" spans="1:65" ht="76.5" customHeight="1" outlineLevel="1">
      <c r="A37" s="16"/>
      <c r="B37" s="21"/>
      <c r="C37" s="21" t="s">
        <v>98</v>
      </c>
      <c r="D37" s="24" t="s">
        <v>99</v>
      </c>
      <c r="E37" s="21" t="s">
        <v>100</v>
      </c>
      <c r="F37" s="21" t="s">
        <v>61</v>
      </c>
      <c r="G37" s="16" t="s">
        <v>72</v>
      </c>
      <c r="H37" s="16" t="s">
        <v>23</v>
      </c>
      <c r="I37" s="33">
        <v>45984</v>
      </c>
      <c r="J37" s="21"/>
      <c r="K37" s="21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</row>
    <row r="38" spans="1:65" ht="13.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</row>
    <row r="39" spans="1:65" ht="13.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</row>
    <row r="40" spans="1:65" ht="13.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</row>
    <row r="41" spans="1:65" ht="13.8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</row>
    <row r="42" spans="1:65" ht="13.8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</row>
    <row r="43" spans="1:65" ht="13.8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</row>
    <row r="44" spans="1:65" ht="13.8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</row>
    <row r="45" spans="1:65" ht="13.8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</row>
    <row r="46" spans="1:65" ht="13.8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</row>
    <row r="47" spans="1:65" ht="13.8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</row>
    <row r="48" spans="1:65" ht="13.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</row>
    <row r="49" spans="1:65" ht="13.8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</row>
    <row r="50" spans="1:65" ht="13.8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</row>
    <row r="51" spans="1:65" ht="13.8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</row>
    <row r="52" spans="1:65" ht="13.8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</row>
    <row r="53" spans="1:65" ht="13.8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</row>
    <row r="54" spans="1:65" ht="13.8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</row>
    <row r="55" spans="1:65" ht="13.8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</row>
    <row r="56" spans="1:65" ht="13.8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</row>
    <row r="57" spans="1:65" ht="13.8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</row>
    <row r="58" spans="1:65" ht="13.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</row>
    <row r="59" spans="1:65" ht="13.8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</row>
    <row r="60" spans="1:65" ht="13.8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</row>
    <row r="61" spans="1:65" ht="13.8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</row>
    <row r="62" spans="1:65" ht="13.8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</row>
    <row r="63" spans="1:65" ht="13.8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</row>
    <row r="64" spans="1:65" ht="13.8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</row>
    <row r="65" spans="1:65" ht="13.8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</row>
    <row r="66" spans="1:65" ht="13.8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</row>
    <row r="67" spans="1:65" ht="13.8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</row>
    <row r="68" spans="1:65" ht="13.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</row>
    <row r="69" spans="1:65" ht="13.8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</row>
    <row r="70" spans="1:65" ht="13.8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</row>
    <row r="71" spans="1:65" ht="13.8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</row>
    <row r="72" spans="1:65" ht="13.8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</row>
    <row r="73" spans="1:65" ht="13.8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</row>
    <row r="74" spans="1:65" ht="13.8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</row>
    <row r="75" spans="1:65" ht="13.8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</row>
    <row r="76" spans="1:65" ht="13.8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</row>
    <row r="77" spans="1:65" ht="13.8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</row>
    <row r="78" spans="1:65" ht="13.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</row>
    <row r="79" spans="1:65" ht="13.8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</row>
    <row r="80" spans="1:65" ht="13.8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</row>
    <row r="81" spans="1:65" ht="13.8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</row>
    <row r="82" spans="1:65" ht="13.8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</row>
    <row r="83" spans="1:65" ht="13.8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</row>
    <row r="84" spans="1:65" ht="13.8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</row>
    <row r="85" spans="1:65" ht="13.8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</row>
    <row r="86" spans="1:65" ht="13.8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</row>
    <row r="87" spans="1:65" ht="13.8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</row>
    <row r="88" spans="1:65" ht="13.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</row>
    <row r="89" spans="1:65" ht="13.8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</row>
    <row r="90" spans="1:65" ht="13.8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</row>
    <row r="91" spans="1:65" ht="13.8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</row>
    <row r="92" spans="1:65" ht="13.8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</row>
    <row r="93" spans="1:65" ht="13.8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</row>
    <row r="94" spans="1:65" ht="13.8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</row>
    <row r="95" spans="1:65" ht="13.8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</row>
    <row r="96" spans="1:65" ht="13.8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</row>
    <row r="97" spans="1:65" ht="13.8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</row>
    <row r="98" spans="1:65" ht="13.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</row>
    <row r="99" spans="1:65" ht="13.8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</row>
    <row r="100" spans="1:65" ht="13.8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</row>
    <row r="101" spans="1:65" ht="13.8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</row>
    <row r="102" spans="1:65" ht="13.8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</row>
    <row r="103" spans="1:65" ht="13.8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</row>
    <row r="104" spans="1:65" ht="13.8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</row>
    <row r="105" spans="1:65" ht="13.8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</row>
    <row r="106" spans="1:65" ht="13.8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</row>
    <row r="107" spans="1:65" ht="13.8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</row>
    <row r="108" spans="1:65" ht="13.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</row>
    <row r="109" spans="1:65" ht="13.8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</row>
    <row r="110" spans="1:65" ht="13.8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</row>
    <row r="111" spans="1:65" ht="13.8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</row>
    <row r="112" spans="1:65" ht="13.8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</row>
    <row r="113" spans="1:65" ht="13.8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</row>
    <row r="114" spans="1:65" ht="13.8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</row>
    <row r="115" spans="1:65" ht="13.8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</row>
    <row r="116" spans="1:65" ht="13.8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</row>
    <row r="117" spans="1:65" ht="13.8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</row>
    <row r="118" spans="1:65" ht="13.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</row>
    <row r="119" spans="1:65" ht="13.8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</row>
    <row r="120" spans="1:65" ht="13.8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</row>
    <row r="121" spans="1:65" ht="13.8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</row>
    <row r="122" spans="1:65" ht="13.8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</row>
    <row r="123" spans="1:65" ht="13.8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</row>
    <row r="124" spans="1:65" ht="13.8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</row>
    <row r="125" spans="1:65" ht="13.8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</row>
    <row r="126" spans="1:65" ht="13.8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</row>
    <row r="127" spans="1:65" ht="13.8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</row>
    <row r="128" spans="1:65" ht="13.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</row>
    <row r="129" spans="1:65" ht="13.8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</row>
    <row r="130" spans="1:65" ht="13.8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</row>
    <row r="131" spans="1:65" ht="13.8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</row>
    <row r="132" spans="1:65" ht="13.8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</row>
    <row r="133" spans="1:65" ht="13.8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</row>
    <row r="134" spans="1:65" ht="13.8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</row>
    <row r="135" spans="1:65" ht="13.8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</row>
    <row r="136" spans="1:65" ht="13.8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</row>
    <row r="137" spans="1:65" ht="13.8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</row>
    <row r="138" spans="1:65" ht="13.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</row>
    <row r="139" spans="1:65" ht="13.8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</row>
    <row r="140" spans="1:65" ht="13.8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</row>
    <row r="141" spans="1:65" ht="13.8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</row>
    <row r="142" spans="1:65" ht="13.8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</row>
    <row r="143" spans="1:65" ht="13.8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</row>
    <row r="144" spans="1:65" ht="13.8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</row>
    <row r="145" spans="1:65" ht="13.8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</row>
    <row r="146" spans="1:65" ht="13.8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</row>
    <row r="147" spans="1:65" ht="13.8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</row>
    <row r="148" spans="1:65" ht="13.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</row>
    <row r="149" spans="1:65" ht="13.8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</row>
    <row r="150" spans="1:65" ht="13.8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</row>
    <row r="151" spans="1:65" ht="13.8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</row>
    <row r="152" spans="1:65" ht="13.8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</row>
    <row r="153" spans="1:65" ht="13.8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</row>
    <row r="154" spans="1:65" ht="13.8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</row>
    <row r="155" spans="1:65" ht="13.8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</row>
    <row r="156" spans="1:65" ht="13.8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</row>
    <row r="157" spans="1:65" ht="13.8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</row>
    <row r="158" spans="1:65" ht="13.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</row>
    <row r="159" spans="1:65" ht="13.8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</row>
    <row r="160" spans="1:65" ht="13.8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</row>
    <row r="161" spans="1:65" ht="13.8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</row>
    <row r="162" spans="1:65" ht="13.8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</row>
    <row r="163" spans="1:65" ht="13.8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</row>
    <row r="164" spans="1:65" ht="13.8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</row>
    <row r="165" spans="1:65" ht="13.8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</row>
    <row r="166" spans="1:65" ht="13.8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</row>
    <row r="167" spans="1:65" ht="13.8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</row>
    <row r="168" spans="1:65" ht="13.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</row>
    <row r="169" spans="1:65" ht="13.8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</row>
    <row r="170" spans="1:65" ht="13.8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</row>
    <row r="171" spans="1:65" ht="13.8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</row>
    <row r="172" spans="1:65" ht="13.8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</row>
    <row r="173" spans="1:65" ht="13.8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</row>
    <row r="174" spans="1:65" ht="13.8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</row>
    <row r="175" spans="1:65" ht="13.8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</row>
    <row r="176" spans="1:65" ht="13.8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</row>
    <row r="177" spans="1:65" ht="13.8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</row>
    <row r="178" spans="1:65" ht="13.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</row>
    <row r="179" spans="1:65" ht="13.8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</row>
    <row r="180" spans="1:65" ht="13.8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</row>
    <row r="181" spans="1:65" ht="13.8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</row>
    <row r="182" spans="1:65" ht="13.8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</row>
    <row r="183" spans="1:65" ht="13.8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</row>
    <row r="184" spans="1:65" ht="13.8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</row>
    <row r="185" spans="1:65" ht="13.8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</row>
    <row r="186" spans="1:65" ht="13.8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</row>
    <row r="187" spans="1:65" ht="13.8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</row>
    <row r="188" spans="1:65" ht="13.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</row>
    <row r="189" spans="1:65" ht="13.8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</row>
    <row r="190" spans="1:65" ht="13.8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</row>
    <row r="191" spans="1:65" ht="13.8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</row>
    <row r="192" spans="1:65" ht="13.8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</row>
    <row r="193" spans="1:65" ht="13.8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</row>
    <row r="194" spans="1:65" ht="13.8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</row>
    <row r="195" spans="1:65" ht="13.8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</row>
    <row r="196" spans="1:65" ht="13.8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</row>
    <row r="197" spans="1:65" ht="13.8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</row>
    <row r="198" spans="1:65" ht="13.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</row>
    <row r="199" spans="1:65" ht="13.8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</row>
    <row r="200" spans="1:65" ht="13.8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</row>
    <row r="201" spans="1:65" ht="13.8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</row>
    <row r="202" spans="1:65" ht="13.8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</row>
    <row r="203" spans="1:65" ht="13.8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</row>
    <row r="204" spans="1:65" ht="13.8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</row>
    <row r="205" spans="1:65" ht="13.8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</row>
    <row r="206" spans="1:65" ht="13.8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</row>
    <row r="207" spans="1:65" ht="13.8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</row>
    <row r="208" spans="1:65" ht="13.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</row>
    <row r="209" spans="1:65" ht="13.8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</row>
    <row r="210" spans="1:65" ht="13.8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</row>
    <row r="211" spans="1:65" ht="13.8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</row>
    <row r="212" spans="1:65" ht="13.8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</row>
    <row r="213" spans="1:65" ht="13.8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</row>
    <row r="214" spans="1:65" ht="13.8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</row>
    <row r="215" spans="1:65" ht="13.8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</row>
    <row r="216" spans="1:65" ht="13.8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</row>
    <row r="217" spans="1:65" ht="13.8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</row>
    <row r="218" spans="1:65" ht="13.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</row>
    <row r="219" spans="1:65" ht="13.8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</row>
    <row r="220" spans="1:65" ht="13.8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</row>
    <row r="221" spans="1:65" ht="13.8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</row>
    <row r="222" spans="1:65" ht="13.8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</row>
    <row r="223" spans="1:65" ht="13.8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</row>
    <row r="224" spans="1:65" ht="13.8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</row>
    <row r="225" spans="1:65" ht="13.8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</row>
    <row r="226" spans="1:65" ht="13.8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</row>
    <row r="227" spans="1:65" ht="13.8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</row>
    <row r="228" spans="1:65" ht="13.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</row>
    <row r="229" spans="1:65" ht="13.8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</row>
    <row r="230" spans="1:65" ht="13.8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</row>
    <row r="231" spans="1:65" ht="13.8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</row>
    <row r="232" spans="1:65" ht="13.8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</row>
    <row r="233" spans="1:65" ht="13.8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</row>
    <row r="234" spans="1:65" ht="13.8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</row>
    <row r="235" spans="1:65" ht="13.8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</row>
    <row r="236" spans="1:65" ht="13.8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</row>
    <row r="237" spans="1:65" ht="13.8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</row>
    <row r="238" spans="1:65" ht="13.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</row>
    <row r="239" spans="1:65" ht="13.8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</row>
    <row r="240" spans="1:65" ht="13.8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</row>
    <row r="241" spans="1:65" ht="13.8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</row>
    <row r="242" spans="1:65" ht="13.8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</row>
    <row r="243" spans="1:65" ht="13.8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</row>
    <row r="244" spans="1:65" ht="13.8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</row>
    <row r="245" spans="1:65" ht="13.8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</row>
    <row r="246" spans="1:65" ht="13.8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</row>
    <row r="247" spans="1:65" ht="13.8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</row>
    <row r="248" spans="1:65" ht="13.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</row>
    <row r="249" spans="1:65" ht="13.8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</row>
    <row r="250" spans="1:65" ht="13.8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</row>
    <row r="251" spans="1:65" ht="13.8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</row>
    <row r="252" spans="1:65" ht="13.8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</row>
    <row r="253" spans="1:65" ht="13.8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</row>
    <row r="254" spans="1:65" ht="13.8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</row>
    <row r="255" spans="1:65" ht="13.8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</row>
    <row r="256" spans="1:65" ht="13.8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</row>
    <row r="257" spans="1:65" ht="13.8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</row>
    <row r="258" spans="1:65" ht="13.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</row>
    <row r="259" spans="1:65" ht="13.8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</row>
    <row r="260" spans="1:65" ht="13.8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</row>
    <row r="261" spans="1:65" ht="13.8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</row>
    <row r="262" spans="1:65" ht="13.8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</row>
    <row r="263" spans="1:65" ht="13.8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</row>
    <row r="264" spans="1:65" ht="13.8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</row>
    <row r="265" spans="1:65" ht="13.8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</row>
    <row r="266" spans="1:65" ht="13.8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</row>
    <row r="267" spans="1:65" ht="13.8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</row>
    <row r="268" spans="1:65" ht="13.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</row>
    <row r="269" spans="1:65" ht="13.8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</row>
    <row r="270" spans="1:65" ht="13.8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</row>
    <row r="271" spans="1:65" ht="13.8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</row>
    <row r="272" spans="1:65" ht="13.8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</row>
    <row r="273" spans="1:65" ht="13.8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</row>
    <row r="274" spans="1:65" ht="13.8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</row>
    <row r="275" spans="1:65" ht="13.8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</row>
    <row r="276" spans="1:65" ht="13.8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</row>
    <row r="277" spans="1:65" ht="13.8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</row>
    <row r="278" spans="1:65" ht="13.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</row>
    <row r="279" spans="1:65" ht="13.8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</row>
    <row r="280" spans="1:65" ht="13.8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</row>
    <row r="281" spans="1:65" ht="13.8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</row>
    <row r="282" spans="1:65" ht="13.8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</row>
    <row r="283" spans="1:65" ht="13.8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</row>
    <row r="284" spans="1:65" ht="13.8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</row>
    <row r="285" spans="1:65" ht="13.8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</row>
    <row r="286" spans="1:65" ht="13.8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</row>
    <row r="287" spans="1:65" ht="13.8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</row>
    <row r="288" spans="1:65" ht="13.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</row>
    <row r="289" spans="1:65" ht="13.8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</row>
    <row r="290" spans="1:65" ht="13.8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</row>
    <row r="291" spans="1:65" ht="13.8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</row>
    <row r="292" spans="1:65" ht="13.8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</row>
    <row r="293" spans="1:65" ht="13.8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</row>
    <row r="294" spans="1:65" ht="13.8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</row>
    <row r="295" spans="1:65" ht="13.8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</row>
    <row r="296" spans="1:65" ht="13.8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</row>
    <row r="297" spans="1:65" ht="13.8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</row>
    <row r="298" spans="1:65" ht="13.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</row>
    <row r="299" spans="1:65" ht="13.8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</row>
    <row r="300" spans="1:65" ht="13.8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</row>
    <row r="301" spans="1:65" ht="13.8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</row>
    <row r="302" spans="1:65" ht="13.8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</row>
    <row r="303" spans="1:65" ht="13.8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</row>
    <row r="304" spans="1:65" ht="13.8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</row>
    <row r="305" spans="1:65" ht="13.8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</row>
    <row r="306" spans="1:65" ht="13.8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</row>
    <row r="307" spans="1:65" ht="13.8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</row>
    <row r="308" spans="1:65" ht="13.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</row>
    <row r="309" spans="1:65" ht="13.8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</row>
    <row r="310" spans="1:65" ht="13.8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</row>
    <row r="311" spans="1:65" ht="13.8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</row>
    <row r="312" spans="1:65" ht="13.8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</row>
    <row r="313" spans="1:65" ht="13.8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</row>
    <row r="314" spans="1:65" ht="13.8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</row>
    <row r="315" spans="1:65" ht="13.8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</row>
    <row r="316" spans="1:65" ht="13.8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</row>
    <row r="317" spans="1:65" ht="13.8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</row>
    <row r="318" spans="1:65" ht="13.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</row>
    <row r="319" spans="1:65" ht="13.8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</row>
    <row r="320" spans="1:65" ht="13.8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</row>
    <row r="321" spans="1:65" ht="13.8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</row>
    <row r="322" spans="1:65" ht="13.8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</row>
    <row r="323" spans="1:65" ht="13.8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</row>
    <row r="324" spans="1:65" ht="13.8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</row>
    <row r="325" spans="1:65" ht="13.8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</row>
    <row r="326" spans="1:65" ht="13.8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</row>
    <row r="327" spans="1:65" ht="13.8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</row>
    <row r="328" spans="1:65" ht="13.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</row>
    <row r="329" spans="1:65" ht="13.8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</row>
    <row r="330" spans="1:65" ht="13.8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</row>
    <row r="331" spans="1:65" ht="13.8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</row>
    <row r="332" spans="1:65" ht="13.8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</row>
    <row r="333" spans="1:65" ht="13.8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</row>
    <row r="334" spans="1:65" ht="13.8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</row>
    <row r="335" spans="1:65" ht="13.8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</row>
    <row r="336" spans="1:65" ht="13.8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</row>
    <row r="337" spans="1:65" ht="13.8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</row>
    <row r="338" spans="1:65" ht="13.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</row>
    <row r="339" spans="1:65" ht="13.8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</row>
    <row r="340" spans="1:65" ht="13.8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</row>
    <row r="341" spans="1:65" ht="13.8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</row>
    <row r="342" spans="1:65" ht="13.8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</row>
    <row r="343" spans="1:65" ht="13.8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</row>
    <row r="344" spans="1:65" ht="13.8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</row>
    <row r="345" spans="1:65" ht="13.8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</row>
    <row r="346" spans="1:65" ht="13.8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</row>
    <row r="347" spans="1:65" ht="13.8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</row>
    <row r="348" spans="1:65" ht="13.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</row>
    <row r="349" spans="1:65" ht="13.8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</row>
    <row r="350" spans="1:65" ht="13.8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</row>
    <row r="351" spans="1:65" ht="13.8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</row>
    <row r="352" spans="1:65" ht="13.8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</row>
    <row r="353" spans="1:65" ht="13.8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</row>
    <row r="354" spans="1:65" ht="13.8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</row>
    <row r="355" spans="1:65" ht="13.8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</row>
    <row r="356" spans="1:65" ht="13.8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</row>
    <row r="357" spans="1:65" ht="13.8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</row>
    <row r="358" spans="1:65" ht="13.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</row>
    <row r="359" spans="1:65" ht="13.8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</row>
    <row r="360" spans="1:65" ht="13.8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</row>
    <row r="361" spans="1:65" ht="13.8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</row>
    <row r="362" spans="1:65" ht="13.8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</row>
    <row r="363" spans="1:65" ht="13.8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</row>
    <row r="364" spans="1:65" ht="13.8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</row>
    <row r="365" spans="1:65" ht="13.8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</row>
    <row r="366" spans="1:65" ht="13.8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</row>
    <row r="367" spans="1:65" ht="13.8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</row>
    <row r="368" spans="1:65" ht="13.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</row>
    <row r="369" spans="1:65" ht="13.8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</row>
    <row r="370" spans="1:65" ht="13.8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</row>
    <row r="371" spans="1:65" ht="13.8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</row>
    <row r="372" spans="1:65" ht="13.8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</row>
    <row r="373" spans="1:65" ht="13.8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</row>
    <row r="374" spans="1:65" ht="13.8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</row>
    <row r="375" spans="1:65" ht="13.8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</row>
    <row r="376" spans="1:65" ht="13.8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</row>
    <row r="377" spans="1:65" ht="13.8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</row>
    <row r="378" spans="1:65" ht="13.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</row>
    <row r="379" spans="1:65" ht="13.8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</row>
    <row r="380" spans="1:65" ht="13.8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</row>
    <row r="381" spans="1:65" ht="13.8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</row>
    <row r="382" spans="1:65" ht="13.8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</row>
    <row r="383" spans="1:65" ht="13.8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</row>
    <row r="384" spans="1:65" ht="13.8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</row>
    <row r="385" spans="1:65" ht="13.8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</row>
    <row r="386" spans="1:65" ht="13.8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</row>
    <row r="387" spans="1:65" ht="13.8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</row>
    <row r="388" spans="1:65" ht="13.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</row>
    <row r="389" spans="1:65" ht="13.8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</row>
    <row r="390" spans="1:65" ht="13.8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</row>
    <row r="391" spans="1:65" ht="13.8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</row>
    <row r="392" spans="1:65" ht="13.8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</row>
    <row r="393" spans="1:65" ht="13.8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</row>
    <row r="394" spans="1:65" ht="13.8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</row>
    <row r="395" spans="1:65" ht="13.8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</row>
    <row r="396" spans="1:65" ht="13.8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</row>
    <row r="397" spans="1:65" ht="13.8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</row>
    <row r="398" spans="1:65" ht="13.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</row>
    <row r="399" spans="1:65" ht="13.8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</row>
    <row r="400" spans="1:65" ht="13.8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</row>
    <row r="401" spans="1:65" ht="13.8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</row>
    <row r="402" spans="1:65" ht="13.8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</row>
    <row r="403" spans="1:65" ht="13.8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</row>
    <row r="404" spans="1:65" ht="13.8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</row>
    <row r="405" spans="1:65" ht="13.8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</row>
    <row r="406" spans="1:65" ht="13.8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</row>
    <row r="407" spans="1:65" ht="13.8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</row>
    <row r="408" spans="1:65" ht="13.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</row>
    <row r="409" spans="1:65" ht="13.8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</row>
    <row r="410" spans="1:65" ht="13.8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</row>
    <row r="411" spans="1:65" ht="13.8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</row>
    <row r="412" spans="1:65" ht="13.8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</row>
    <row r="413" spans="1:65" ht="13.8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</row>
    <row r="414" spans="1:65" ht="13.8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</row>
    <row r="415" spans="1:65" ht="13.8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</row>
    <row r="416" spans="1:65" ht="13.8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</row>
    <row r="417" spans="1:65" ht="13.8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</row>
    <row r="418" spans="1:65" ht="13.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</row>
    <row r="419" spans="1:65" ht="13.8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</row>
    <row r="420" spans="1:65" ht="13.8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</row>
    <row r="421" spans="1:65" ht="13.8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</row>
    <row r="422" spans="1:65" ht="13.8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</row>
    <row r="423" spans="1:65" ht="13.8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</row>
    <row r="424" spans="1:65" ht="13.8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</row>
    <row r="425" spans="1:65" ht="13.8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</row>
    <row r="426" spans="1:65" ht="13.8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</row>
    <row r="427" spans="1:65" ht="13.8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</row>
    <row r="428" spans="1:65" ht="13.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</row>
    <row r="429" spans="1:65" ht="13.8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</row>
    <row r="430" spans="1:65" ht="13.8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</row>
    <row r="431" spans="1:65" ht="13.8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</row>
    <row r="432" spans="1:65" ht="13.8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</row>
    <row r="433" spans="1:65" ht="13.8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</row>
    <row r="434" spans="1:65" ht="13.8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</row>
    <row r="435" spans="1:65" ht="13.8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</row>
    <row r="436" spans="1:65" ht="13.8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</row>
    <row r="437" spans="1:65" ht="13.8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</row>
    <row r="438" spans="1:65" ht="13.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</row>
    <row r="439" spans="1:65" ht="13.8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</row>
    <row r="440" spans="1:65" ht="13.8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</row>
    <row r="441" spans="1:65" ht="13.8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</row>
    <row r="442" spans="1:65" ht="13.8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</row>
    <row r="443" spans="1:65" ht="13.8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</row>
    <row r="444" spans="1:65" ht="13.8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</row>
    <row r="445" spans="1:65" ht="13.8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</row>
    <row r="446" spans="1:65" ht="13.8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</row>
    <row r="447" spans="1:65" ht="13.8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</row>
    <row r="448" spans="1:65" ht="13.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</row>
    <row r="449" spans="1:65" ht="13.8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</row>
    <row r="450" spans="1:65" ht="13.8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</row>
    <row r="451" spans="1:65" ht="13.8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</row>
    <row r="452" spans="1:65" ht="13.8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</row>
    <row r="453" spans="1:65" ht="13.8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</row>
    <row r="454" spans="1:65" ht="13.8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</row>
    <row r="455" spans="1:65" ht="13.8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</row>
    <row r="456" spans="1:65" ht="13.8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</row>
    <row r="457" spans="1:65" ht="13.8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</row>
    <row r="458" spans="1:65" ht="13.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</row>
    <row r="459" spans="1:65" ht="13.8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</row>
    <row r="460" spans="1:65" ht="13.8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</row>
    <row r="461" spans="1:65" ht="13.8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</row>
    <row r="462" spans="1:65" ht="13.8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</row>
    <row r="463" spans="1:65" ht="13.8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</row>
    <row r="464" spans="1:65" ht="13.8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</row>
    <row r="465" spans="1:65" ht="13.8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</row>
    <row r="466" spans="1:65" ht="13.8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</row>
    <row r="467" spans="1:65" ht="13.8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</row>
    <row r="468" spans="1:65" ht="13.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</row>
    <row r="469" spans="1:65" ht="13.8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</row>
    <row r="470" spans="1:65" ht="13.8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</row>
    <row r="471" spans="1:65" ht="13.8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</row>
    <row r="472" spans="1:65" ht="13.8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</row>
    <row r="473" spans="1:65" ht="13.8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</row>
    <row r="474" spans="1:65" ht="13.8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</row>
    <row r="475" spans="1:65" ht="13.8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</row>
    <row r="476" spans="1:65" ht="13.8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</row>
    <row r="477" spans="1:65" ht="13.8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</row>
    <row r="478" spans="1:65" ht="13.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</row>
    <row r="479" spans="1:65" ht="13.8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</row>
    <row r="480" spans="1:65" ht="13.8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</row>
    <row r="481" spans="1:65" ht="13.8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</row>
    <row r="482" spans="1:65" ht="13.8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</row>
    <row r="483" spans="1:65" ht="13.8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</row>
    <row r="484" spans="1:65" ht="13.8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</row>
    <row r="485" spans="1:65" ht="13.8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</row>
    <row r="486" spans="1:65" ht="13.8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</row>
    <row r="487" spans="1:65" ht="13.8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</row>
    <row r="488" spans="1:65" ht="13.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</row>
    <row r="489" spans="1:65" ht="13.8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</row>
    <row r="490" spans="1:65" ht="13.8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</row>
    <row r="491" spans="1:65" ht="13.8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</row>
    <row r="492" spans="1:65" ht="13.8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</row>
    <row r="493" spans="1:65" ht="13.8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</row>
    <row r="494" spans="1:65" ht="13.8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</row>
    <row r="495" spans="1:65" ht="13.8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</row>
    <row r="496" spans="1:65" ht="13.8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</row>
    <row r="497" spans="1:65" ht="13.8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</row>
    <row r="498" spans="1:65" ht="13.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</row>
    <row r="499" spans="1:65" ht="13.8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</row>
    <row r="500" spans="1:65" ht="13.8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</row>
    <row r="501" spans="1:65" ht="13.8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</row>
    <row r="502" spans="1:65" ht="13.8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</row>
    <row r="503" spans="1:65" ht="13.8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</row>
    <row r="504" spans="1:65" ht="13.8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</row>
    <row r="505" spans="1:65" ht="13.8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</row>
    <row r="506" spans="1:65" ht="13.8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</row>
    <row r="507" spans="1:65" ht="13.8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</row>
    <row r="508" spans="1:65" ht="13.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</row>
    <row r="509" spans="1:65" ht="13.8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</row>
    <row r="510" spans="1:65" ht="13.8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</row>
    <row r="511" spans="1:65" ht="13.8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</row>
    <row r="512" spans="1:65" ht="13.8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</row>
    <row r="513" spans="1:65" ht="13.8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</row>
    <row r="514" spans="1:65" ht="13.8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</row>
    <row r="515" spans="1:65" ht="13.8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</row>
    <row r="516" spans="1:65" ht="13.8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</row>
    <row r="517" spans="1:65" ht="13.8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</row>
    <row r="518" spans="1:65" ht="13.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</row>
    <row r="519" spans="1:65" ht="13.8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</row>
    <row r="520" spans="1:65" ht="13.8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</row>
    <row r="521" spans="1:65" ht="13.8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</row>
    <row r="522" spans="1:65" ht="13.8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</row>
    <row r="523" spans="1:65" ht="13.8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</row>
    <row r="524" spans="1:65" ht="13.8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</row>
    <row r="525" spans="1:65" ht="13.8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</row>
    <row r="526" spans="1:65" ht="13.8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</row>
    <row r="527" spans="1:65" ht="13.8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</row>
    <row r="528" spans="1:65" ht="13.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</row>
    <row r="529" spans="1:65" ht="13.8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</row>
    <row r="530" spans="1:65" ht="13.8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</row>
    <row r="531" spans="1:65" ht="13.8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</row>
    <row r="532" spans="1:65" ht="13.8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</row>
    <row r="533" spans="1:65" ht="13.8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</row>
    <row r="534" spans="1:65" ht="13.8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</row>
    <row r="535" spans="1:65" ht="13.8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</row>
    <row r="536" spans="1:65" ht="13.8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</row>
    <row r="537" spans="1:65" ht="13.8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</row>
    <row r="538" spans="1:65" ht="13.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</row>
    <row r="539" spans="1:65" ht="13.8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</row>
    <row r="540" spans="1:65" ht="13.8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</row>
    <row r="541" spans="1:65" ht="13.8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</row>
    <row r="542" spans="1:65" ht="13.8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</row>
    <row r="543" spans="1:65" ht="13.8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</row>
    <row r="544" spans="1:65" ht="13.8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</row>
    <row r="545" spans="1:65" ht="13.8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</row>
    <row r="546" spans="1:65" ht="13.8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</row>
    <row r="547" spans="1:65" ht="13.8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</row>
    <row r="548" spans="1:65" ht="13.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</row>
    <row r="549" spans="1:65" ht="13.8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</row>
    <row r="550" spans="1:65" ht="13.8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</row>
    <row r="551" spans="1:65" ht="13.8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</row>
    <row r="552" spans="1:65" ht="13.8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</row>
    <row r="553" spans="1:65" ht="13.8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</row>
    <row r="554" spans="1:65" ht="13.8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</row>
    <row r="555" spans="1:65" ht="13.8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</row>
    <row r="556" spans="1:65" ht="13.8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</row>
    <row r="557" spans="1:65" ht="13.8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</row>
    <row r="558" spans="1:65" ht="13.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</row>
    <row r="559" spans="1:65" ht="13.8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</row>
    <row r="560" spans="1:65" ht="13.8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</row>
    <row r="561" spans="1:65" ht="13.8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</row>
    <row r="562" spans="1:65" ht="13.8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</row>
    <row r="563" spans="1:65" ht="13.8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</row>
    <row r="564" spans="1:65" ht="13.8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</row>
    <row r="565" spans="1:65" ht="13.8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</row>
    <row r="566" spans="1:65" ht="13.8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</row>
    <row r="567" spans="1:65" ht="13.8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</row>
    <row r="568" spans="1:65" ht="13.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</row>
    <row r="569" spans="1:65" ht="13.8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</row>
    <row r="570" spans="1:65" ht="13.8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</row>
    <row r="571" spans="1:65" ht="13.8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</row>
    <row r="572" spans="1:65" ht="13.8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</row>
    <row r="573" spans="1:65" ht="13.8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</row>
    <row r="574" spans="1:65" ht="13.8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</row>
    <row r="575" spans="1:65" ht="13.8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</row>
    <row r="576" spans="1:65" ht="13.8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</row>
    <row r="577" spans="1:65" ht="13.8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</row>
    <row r="578" spans="1:65" ht="13.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</row>
    <row r="579" spans="1:65" ht="13.8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</row>
    <row r="580" spans="1:65" ht="13.8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</row>
    <row r="581" spans="1:65" ht="13.8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</row>
    <row r="582" spans="1:65" ht="13.8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</row>
    <row r="583" spans="1:65" ht="13.8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</row>
    <row r="584" spans="1:65" ht="13.8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</row>
    <row r="585" spans="1:65" ht="13.8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</row>
    <row r="586" spans="1:65" ht="13.8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</row>
    <row r="587" spans="1:65" ht="13.8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</row>
    <row r="588" spans="1:65" ht="13.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</row>
    <row r="589" spans="1:65" ht="13.8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</row>
    <row r="590" spans="1:65" ht="13.8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</row>
    <row r="591" spans="1:65" ht="13.8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</row>
    <row r="592" spans="1:65" ht="13.8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</row>
    <row r="593" spans="1:65" ht="13.8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</row>
    <row r="594" spans="1:65" ht="13.8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</row>
    <row r="595" spans="1:65" ht="13.8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</row>
    <row r="596" spans="1:65" ht="13.8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</row>
    <row r="597" spans="1:65" ht="13.8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</row>
    <row r="598" spans="1:65" ht="13.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</row>
    <row r="599" spans="1:65" ht="13.8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</row>
    <row r="600" spans="1:65" ht="13.8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</row>
    <row r="601" spans="1:65" ht="13.8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</row>
    <row r="602" spans="1:65" ht="13.8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</row>
    <row r="603" spans="1:65" ht="13.8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</row>
    <row r="604" spans="1:65" ht="13.8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</row>
    <row r="605" spans="1:65" ht="13.8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</row>
    <row r="606" spans="1:65" ht="13.8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</row>
    <row r="607" spans="1:65" ht="13.8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</row>
    <row r="608" spans="1:65" ht="13.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</row>
    <row r="609" spans="1:65" ht="13.8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</row>
    <row r="610" spans="1:65" ht="13.8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</row>
    <row r="611" spans="1:65" ht="13.8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</row>
    <row r="612" spans="1:65" ht="13.8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</row>
    <row r="613" spans="1:65" ht="13.8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</row>
    <row r="614" spans="1:65" ht="13.8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</row>
    <row r="615" spans="1:65" ht="13.8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</row>
    <row r="616" spans="1:65" ht="13.8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</row>
    <row r="617" spans="1:65" ht="13.8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</row>
    <row r="618" spans="1:65" ht="13.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</row>
    <row r="619" spans="1:65" ht="13.8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</row>
    <row r="620" spans="1:65" ht="13.8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</row>
    <row r="621" spans="1:65" ht="13.8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</row>
    <row r="622" spans="1:65" ht="13.8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</row>
    <row r="623" spans="1:65" ht="13.8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</row>
    <row r="624" spans="1:65" ht="13.8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</row>
    <row r="625" spans="1:65" ht="13.8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</row>
    <row r="626" spans="1:65" ht="13.8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</row>
    <row r="627" spans="1:65" ht="13.8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</row>
    <row r="628" spans="1:65" ht="13.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</row>
    <row r="629" spans="1:65" ht="13.8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</row>
    <row r="630" spans="1:65" ht="13.8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</row>
    <row r="631" spans="1:65" ht="13.8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</row>
    <row r="632" spans="1:65" ht="13.8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</row>
    <row r="633" spans="1:65" ht="13.8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</row>
    <row r="634" spans="1:65" ht="13.8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</row>
    <row r="635" spans="1:65" ht="13.8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</row>
    <row r="636" spans="1:65" ht="13.8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</row>
    <row r="637" spans="1:65" ht="13.8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</row>
    <row r="638" spans="1:65" ht="13.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</row>
    <row r="639" spans="1:65" ht="13.8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</row>
    <row r="640" spans="1:65" ht="13.8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</row>
    <row r="641" spans="1:65" ht="13.8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</row>
    <row r="642" spans="1:65" ht="13.8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</row>
    <row r="643" spans="1:65" ht="13.8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</row>
    <row r="644" spans="1:65" ht="13.8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</row>
    <row r="645" spans="1:65" ht="13.8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</row>
    <row r="646" spans="1:65" ht="13.8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</row>
    <row r="647" spans="1:65" ht="13.8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</row>
    <row r="648" spans="1:65" ht="13.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</row>
    <row r="649" spans="1:65" ht="13.8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</row>
    <row r="650" spans="1:65" ht="13.8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</row>
    <row r="651" spans="1:65" ht="13.8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</row>
    <row r="652" spans="1:65" ht="13.8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</row>
    <row r="653" spans="1:65" ht="13.8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</row>
    <row r="654" spans="1:65" ht="13.8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</row>
    <row r="655" spans="1:65" ht="13.8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</row>
    <row r="656" spans="1:65" ht="13.8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</row>
    <row r="657" spans="1:65" ht="13.8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</row>
    <row r="658" spans="1:65" ht="13.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</row>
    <row r="659" spans="1:65" ht="13.8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</row>
    <row r="660" spans="1:65" ht="13.8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</row>
    <row r="661" spans="1:65" ht="13.8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</row>
    <row r="662" spans="1:65" ht="13.8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</row>
    <row r="663" spans="1:65" ht="13.8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</row>
    <row r="664" spans="1:65" ht="13.8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</row>
    <row r="665" spans="1:65" ht="13.8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</row>
    <row r="666" spans="1:65" ht="13.8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</row>
    <row r="667" spans="1:65" ht="13.8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</row>
    <row r="668" spans="1:65" ht="13.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</row>
    <row r="669" spans="1:65" ht="13.8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</row>
    <row r="670" spans="1:65" ht="13.8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</row>
    <row r="671" spans="1:65" ht="13.8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</row>
    <row r="672" spans="1:65" ht="13.8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</row>
    <row r="673" spans="1:65" ht="13.8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</row>
    <row r="674" spans="1:65" ht="13.8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</row>
    <row r="675" spans="1:65" ht="13.8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</row>
    <row r="676" spans="1:65" ht="13.8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</row>
    <row r="677" spans="1:65" ht="13.8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</row>
    <row r="678" spans="1:65" ht="13.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</row>
    <row r="679" spans="1:65" ht="13.8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</row>
    <row r="680" spans="1:65" ht="13.8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</row>
    <row r="681" spans="1:65" ht="13.8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</row>
    <row r="682" spans="1:65" ht="13.8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</row>
    <row r="683" spans="1:65" ht="13.8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</row>
    <row r="684" spans="1:65" ht="13.8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</row>
    <row r="685" spans="1:65" ht="13.8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</row>
    <row r="686" spans="1:65" ht="13.8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</row>
    <row r="687" spans="1:65" ht="13.8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</row>
    <row r="688" spans="1:65" ht="13.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</row>
    <row r="689" spans="1:65" ht="13.8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</row>
    <row r="690" spans="1:65" ht="13.8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</row>
    <row r="691" spans="1:65" ht="13.8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</row>
    <row r="692" spans="1:65" ht="13.8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</row>
    <row r="693" spans="1:65" ht="13.8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</row>
    <row r="694" spans="1:65" ht="13.8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</row>
    <row r="695" spans="1:65" ht="13.8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</row>
    <row r="696" spans="1:65" ht="13.8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</row>
    <row r="697" spans="1:65" ht="13.8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</row>
    <row r="698" spans="1:65" ht="13.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</row>
    <row r="699" spans="1:65" ht="13.8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</row>
    <row r="700" spans="1:65" ht="13.8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</row>
    <row r="701" spans="1:65" ht="13.8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</row>
    <row r="702" spans="1:65" ht="13.8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</row>
    <row r="703" spans="1:65" ht="13.8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</row>
    <row r="704" spans="1:65" ht="13.8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</row>
    <row r="705" spans="1:65" ht="13.8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</row>
    <row r="706" spans="1:65" ht="13.8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</row>
    <row r="707" spans="1:65" ht="13.8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</row>
    <row r="708" spans="1:65" ht="13.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</row>
    <row r="709" spans="1:65" ht="13.8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</row>
    <row r="710" spans="1:65" ht="13.8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</row>
    <row r="711" spans="1:65" ht="13.8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</row>
    <row r="712" spans="1:65" ht="13.8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</row>
    <row r="713" spans="1:65" ht="13.8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</row>
    <row r="714" spans="1:65" ht="13.8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</row>
    <row r="715" spans="1:65" ht="13.8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</row>
    <row r="716" spans="1:65" ht="13.8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</row>
    <row r="717" spans="1:65" ht="13.8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</row>
    <row r="718" spans="1:65" ht="13.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</row>
    <row r="719" spans="1:65" ht="13.8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</row>
    <row r="720" spans="1:65" ht="13.8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</row>
    <row r="721" spans="1:65" ht="13.8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</row>
    <row r="722" spans="1:65" ht="13.8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</row>
    <row r="723" spans="1:65" ht="13.8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</row>
    <row r="724" spans="1:65" ht="13.8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</row>
    <row r="725" spans="1:65" ht="13.8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</row>
    <row r="726" spans="1:65" ht="13.8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</row>
    <row r="727" spans="1:65" ht="13.8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</row>
    <row r="728" spans="1:65" ht="13.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</row>
    <row r="729" spans="1:65" ht="13.8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</row>
    <row r="730" spans="1:65" ht="13.8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</row>
    <row r="731" spans="1:65" ht="13.8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</row>
    <row r="732" spans="1:65" ht="13.8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</row>
    <row r="733" spans="1:65" ht="13.8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</row>
    <row r="734" spans="1:65" ht="13.8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</row>
    <row r="735" spans="1:65" ht="13.8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</row>
    <row r="736" spans="1:65" ht="13.8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</row>
    <row r="737" spans="1:65" ht="13.8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</row>
    <row r="738" spans="1:65" ht="13.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</row>
    <row r="739" spans="1:65" ht="13.8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</row>
    <row r="740" spans="1:65" ht="13.8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</row>
    <row r="741" spans="1:65" ht="13.8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</row>
    <row r="742" spans="1:65" ht="13.8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</row>
    <row r="743" spans="1:65" ht="13.8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</row>
    <row r="744" spans="1:65" ht="13.8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</row>
    <row r="745" spans="1:65" ht="13.8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</row>
    <row r="746" spans="1:65" ht="13.8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</row>
    <row r="747" spans="1:65" ht="13.8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</row>
    <row r="748" spans="1:65" ht="13.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</row>
    <row r="749" spans="1:65" ht="13.8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</row>
    <row r="750" spans="1:65" ht="13.8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</row>
    <row r="751" spans="1:65" ht="13.8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</row>
    <row r="752" spans="1:65" ht="13.8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</row>
    <row r="753" spans="1:65" ht="13.8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</row>
    <row r="754" spans="1:65" ht="13.8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</row>
    <row r="755" spans="1:65" ht="13.8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</row>
    <row r="756" spans="1:65" ht="13.8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</row>
    <row r="757" spans="1:65" ht="13.8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</row>
    <row r="758" spans="1:65" ht="13.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</row>
    <row r="759" spans="1:65" ht="13.8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</row>
    <row r="760" spans="1:65" ht="13.8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</row>
    <row r="761" spans="1:65" ht="13.8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</row>
    <row r="762" spans="1:65" ht="13.8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</row>
    <row r="763" spans="1:65" ht="13.8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</row>
    <row r="764" spans="1:65" ht="13.8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</row>
    <row r="765" spans="1:65" ht="13.8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</row>
    <row r="766" spans="1:65" ht="13.8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</row>
    <row r="767" spans="1:65" ht="13.8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</row>
    <row r="768" spans="1:65" ht="13.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</row>
    <row r="769" spans="1:65" ht="13.8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</row>
    <row r="770" spans="1:65" ht="13.8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</row>
    <row r="771" spans="1:65" ht="13.8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</row>
    <row r="772" spans="1:65" ht="13.8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</row>
    <row r="773" spans="1:65" ht="13.8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</row>
    <row r="774" spans="1:65" ht="13.8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</row>
    <row r="775" spans="1:65" ht="13.8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</row>
    <row r="776" spans="1:65" ht="13.8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</row>
    <row r="777" spans="1:65" ht="13.8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</row>
    <row r="778" spans="1:65" ht="13.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</row>
    <row r="779" spans="1:65" ht="13.8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</row>
    <row r="780" spans="1:65" ht="13.8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</row>
    <row r="781" spans="1:65" ht="13.8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</row>
    <row r="782" spans="1:65" ht="13.8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</row>
    <row r="783" spans="1:65" ht="13.8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</row>
    <row r="784" spans="1:65" ht="13.8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</row>
    <row r="785" spans="1:65" ht="13.8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</row>
    <row r="786" spans="1:65" ht="13.8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</row>
    <row r="787" spans="1:65" ht="13.8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</row>
    <row r="788" spans="1:65" ht="13.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</row>
    <row r="789" spans="1:65" ht="13.8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</row>
    <row r="790" spans="1:65" ht="13.8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</row>
    <row r="791" spans="1:65" ht="13.8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</row>
    <row r="792" spans="1:65" ht="13.8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</row>
    <row r="793" spans="1:65" ht="13.8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</row>
    <row r="794" spans="1:65" ht="13.8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</row>
    <row r="795" spans="1:65" ht="13.8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</row>
    <row r="796" spans="1:65" ht="13.8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</row>
    <row r="797" spans="1:65" ht="13.8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</row>
    <row r="798" spans="1:65" ht="13.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</row>
    <row r="799" spans="1:65" ht="13.8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</row>
    <row r="800" spans="1:65" ht="13.8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</row>
    <row r="801" spans="1:65" ht="13.8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</row>
    <row r="802" spans="1:65" ht="13.8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</row>
    <row r="803" spans="1:65" ht="13.8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</row>
    <row r="804" spans="1:65" ht="13.8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</row>
    <row r="805" spans="1:65" ht="13.8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</row>
    <row r="806" spans="1:65" ht="13.8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</row>
    <row r="807" spans="1:65" ht="13.8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</row>
    <row r="808" spans="1:65" ht="13.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</row>
    <row r="809" spans="1:65" ht="13.8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</row>
    <row r="810" spans="1:65" ht="13.8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</row>
    <row r="811" spans="1:65" ht="13.8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</row>
    <row r="812" spans="1:65" ht="13.8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</row>
    <row r="813" spans="1:65" ht="13.8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</row>
    <row r="814" spans="1:65" ht="13.8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</row>
    <row r="815" spans="1:65" ht="13.8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</row>
    <row r="816" spans="1:65" ht="13.8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</row>
    <row r="817" spans="1:65" ht="13.8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</row>
    <row r="818" spans="1:65" ht="13.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</row>
    <row r="819" spans="1:65" ht="13.8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</row>
    <row r="820" spans="1:65" ht="13.8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</row>
    <row r="821" spans="1:65" ht="13.8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</row>
    <row r="822" spans="1:65" ht="13.8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</row>
    <row r="823" spans="1:65" ht="13.8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</row>
    <row r="824" spans="1:65" ht="13.8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</row>
    <row r="825" spans="1:65" ht="13.8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</row>
    <row r="826" spans="1:65" ht="13.8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</row>
    <row r="827" spans="1:65" ht="13.8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</row>
    <row r="828" spans="1:65" ht="13.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</row>
    <row r="829" spans="1:65" ht="13.8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</row>
    <row r="830" spans="1:65" ht="13.8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</row>
    <row r="831" spans="1:65" ht="13.8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</row>
    <row r="832" spans="1:65" ht="13.8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</row>
    <row r="833" spans="1:65" ht="13.8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</row>
    <row r="834" spans="1:65" ht="13.8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</row>
    <row r="835" spans="1:65" ht="13.8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</row>
    <row r="836" spans="1:65" ht="13.8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</row>
    <row r="837" spans="1:65" ht="13.8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</row>
    <row r="838" spans="1:65" ht="13.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</row>
    <row r="839" spans="1:65" ht="13.8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</row>
    <row r="840" spans="1:65" ht="13.8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</row>
    <row r="841" spans="1:65" ht="13.8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</row>
    <row r="842" spans="1:65" ht="13.8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</row>
    <row r="843" spans="1:65" ht="13.8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</row>
    <row r="844" spans="1:65" ht="13.8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</row>
    <row r="845" spans="1:65" ht="13.8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</row>
    <row r="846" spans="1:65" ht="13.8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</row>
    <row r="847" spans="1:65" ht="13.8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</row>
    <row r="848" spans="1:65" ht="13.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</row>
    <row r="849" spans="1:65" ht="13.8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</row>
  </sheetData>
  <mergeCells count="5">
    <mergeCell ref="B7:D7"/>
    <mergeCell ref="A10:C10"/>
    <mergeCell ref="A17:F17"/>
    <mergeCell ref="A24:F24"/>
    <mergeCell ref="A31:F31"/>
  </mergeCells>
  <phoneticPr fontId="11" type="noConversion"/>
  <dataValidations count="1">
    <dataValidation type="list" allowBlank="1" showErrorMessage="1" sqref="H32:H37 H18:H23 H25:H30 H11:H16" xr:uid="{00000000-0002-0000-0000-000000000000}">
      <formula1>"Pass,Fail,Pending,N/A"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tuân thủ-A00074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</dc:creator>
  <cp:lastModifiedBy>Hiên L63 + Tưởng Thị</cp:lastModifiedBy>
  <dcterms:created xsi:type="dcterms:W3CDTF">2025-11-18T06:32:20Z</dcterms:created>
  <dcterms:modified xsi:type="dcterms:W3CDTF">2026-01-12T01:03:03Z</dcterms:modified>
</cp:coreProperties>
</file>